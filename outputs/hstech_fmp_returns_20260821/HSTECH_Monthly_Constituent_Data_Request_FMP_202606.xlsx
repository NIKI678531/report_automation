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5de5a33dac46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月度数据拉取清单" sheetId="1" r:id="Rc77d71102ad54705"/>
    <x:sheet xmlns:r="http://schemas.openxmlformats.org/officeDocument/2006/relationships" name="字段说明" sheetId="2" r:id="Rba28bbf3afaa4e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"/>
    <x:numFmt numFmtId="202" formatCode="0.00;[Red](0.00);-"/>
    <x:numFmt numFmtId="203" formatCode="0.00"/>
    <x:numFmt numFmtId="204" formatCode="0.00;[Red]-0.00"/>
  </x:numFmts>
  <x:fonts count="15">
    <x:font>
      <x:sz val="11"/>
      <x:name val="Carlito"/>
    </x:font>
    <x:font>
      <x:b/>
      <x:sz val="16"/>
      <x:color rgb="FFFFFFFF"/>
      <x:name val="Carlito"/>
    </x:font>
    <x:font>
      <x:sz val="10"/>
      <x:color rgb="FF0B1F3A"/>
      <x:name val="Carlito"/>
    </x:font>
    <x:font>
      <x:sz val="10"/>
      <x:color rgb="FF000000"/>
      <x:name val="Carlito"/>
    </x:font>
    <x:font>
      <x:b/>
      <x:sz val="10"/>
      <x:color rgb="FF0B1F3A"/>
      <x:name val="Carlito"/>
    </x:font>
    <x:font>
      <x:b/>
      <x:sz val="10"/>
      <x:color rgb="FF0000FF"/>
      <x:name val="Carlito"/>
    </x:font>
    <x:font>
      <x:sz val="10"/>
      <x:color rgb="FF0000FF"/>
      <x:name val="Carlito"/>
    </x:font>
    <x:font>
      <x:b/>
      <x:sz val="10"/>
      <x:color rgb="FF007A78"/>
      <x:name val="Carlito"/>
    </x:font>
    <x:font>
      <x:b/>
      <x:sz val="9"/>
      <x:color rgb="FFFFFFFF"/>
      <x:name val="Carlito"/>
    </x:font>
    <x:font>
      <x:sz val="9"/>
      <x:color rgb="FF000000"/>
      <x:name val="Carlito"/>
    </x:font>
    <x:font>
      <x:sz val="9"/>
      <x:color rgb="FF0000FF"/>
      <x:name val="Carlito"/>
    </x:font>
    <x:font>
      <x:b/>
      <x:sz val="11"/>
      <x:color rgb="FFFFFFFF"/>
      <x:name val="Carlito"/>
    </x:font>
    <x:font>
      <x:b/>
      <x:sz val="9"/>
      <x:color rgb="FF0B1F3A"/>
      <x:name val="Carlito"/>
    </x:font>
    <x:font>
      <x:sz val="11"/>
      <x:color rgb="FF0B1F3A"/>
      <x:name val="Carlito"/>
    </x:font>
    <x:font>
      <x:i/>
      <x:sz val="9"/>
      <x:color rgb="FF0B1F3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AF3F8"/>
      </x:patternFill>
    </x:fill>
    <x:fill>
      <x:patternFill patternType="solid">
        <x:fgColor rgb="FFF4F7FA"/>
      </x:patternFill>
    </x:fill>
    <x:fill>
      <x:patternFill patternType="solid">
        <x:fgColor rgb="FFFFF4CC"/>
      </x:patternFill>
    </x:fill>
    <x:fill>
      <x:patternFill patternType="solid">
        <x:fgColor rgb="FFE7F3ED"/>
      </x:patternFill>
    </x:fill>
    <x:fill>
      <x:patternFill patternType="solid">
        <x:fgColor rgb="FF007A78"/>
      </x:patternFill>
    </x:fill>
  </x:fills>
  <x:borders count="5">
    <x:border/>
    <x:border>
      <x:bottom style="medium">
        <x:color rgb="FF0B1F3A"/>
      </x:bottom>
    </x:border>
    <x:border>
      <x:bottom style="thin">
        <x:color rgb="FFD7DEE8"/>
      </x:bottom>
    </x:border>
    <x:border>
      <x:top style="thin">
        <x:color rgb="FFD7DEE8"/>
      </x:top>
      <x:bottom style="thin">
        <x:color rgb="FFD7DEE8"/>
      </x:bottom>
    </x:border>
    <x:border>
      <x:top style="thin">
        <x:color rgb="FFD7DEE8"/>
      </x:top>
    </x:border>
  </x:borders>
  <x:cellStyleXfs count="1">
    <x:xf numFmtId="0" fontId="0" fillId="0" borderId="0"/>
  </x:cellStyleXfs>
  <x:cellXfs count="1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200" fontId="5" fillId="5" borderId="0" xfId="0" applyNumberFormat="1" applyFont="1" applyFill="1" applyBorder="1" applyAlignment="1">
      <x:alignment vertical="center"/>
    </x:xf>
    <x:xf numFmtId="200" fontId="5" fillId="5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horizontal="center" vertical="center"/>
    </x:xf>
    <x:xf numFmtId="201" fontId="7" fillId="6" borderId="0" xfId="0" applyNumberFormat="1" applyFont="1" applyFill="1" applyBorder="1" applyAlignment="1">
      <x:alignment vertical="center"/>
    </x:xf>
    <x:xf numFmtId="201" fontId="7" fillId="6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horizontal="center" wrapText="1"/>
    </x:xf>
    <x:xf numFmtId="0" fontId="8" fillId="7" borderId="1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2" xfId="0" applyNumberFormat="1" applyFont="1" applyFill="1" applyBorder="1"/>
    <x:xf numFmtId="0" fontId="9" fillId="0" borderId="3" xfId="0" applyNumberFormat="1" applyFont="1" applyFill="1" applyBorder="1"/>
    <x:xf numFmtId="0" fontId="9" fillId="0" borderId="4" xfId="0" applyNumberFormat="1" applyFont="1" applyFill="1" applyBorder="1"/>
    <x:xf numFmtId="0" fontId="9" fillId="0" borderId="2" xfId="0" applyNumberFormat="1" applyFont="1" applyFill="1" applyBorder="1" applyAlignment="1">
      <x:alignment vertical="center"/>
    </x:xf>
    <x:xf numFmtId="0" fontId="9" fillId="0" borderId="3" xfId="0" applyNumberFormat="1" applyFont="1" applyFill="1" applyBorder="1" applyAlignment="1">
      <x:alignment vertical="center"/>
    </x:xf>
    <x:xf numFmtId="0" fontId="9" fillId="0" borderId="4" xfId="0" applyNumberFormat="1" applyFont="1" applyFill="1" applyBorder="1" applyAlignment="1">
      <x:alignment vertical="center"/>
    </x:xf>
    <x:xf numFmtId="0" fontId="9" fillId="0" borderId="2" xfId="0" applyNumberFormat="1" applyFont="1" applyFill="1" applyBorder="1" applyAlignment="1">
      <x:alignment horizontal="center" vertical="center"/>
    </x:xf>
    <x:xf numFmtId="0" fontId="9" fillId="0" borderId="3" xfId="0" applyNumberFormat="1" applyFont="1" applyFill="1" applyBorder="1" applyAlignment="1">
      <x:alignment horizontal="center" vertical="center"/>
    </x:xf>
    <x:xf numFmtId="0" fontId="9" fillId="0" borderId="4" xfId="0" applyNumberFormat="1" applyFont="1" applyFill="1" applyBorder="1" applyAlignment="1">
      <x:alignment horizontal="center" vertical="center"/>
    </x:xf>
    <x:xf numFmtId="0" fontId="9" fillId="0" borderId="2" xfId="0" applyNumberFormat="1" applyFont="1" applyFill="1" applyBorder="1" applyAlignment="1">
      <x:alignment horizontal="left" vertical="center"/>
    </x:xf>
    <x:xf numFmtId="0" fontId="9" fillId="0" borderId="3" xfId="0" applyNumberFormat="1" applyFont="1" applyFill="1" applyBorder="1" applyAlignment="1">
      <x:alignment horizontal="left" vertical="center"/>
    </x:xf>
    <x:xf numFmtId="0" fontId="9" fillId="0" borderId="4" xfId="0" applyNumberFormat="1" applyFont="1" applyFill="1" applyBorder="1" applyAlignment="1">
      <x:alignment horizontal="left" vertical="center"/>
    </x:xf>
    <x:xf numFmtId="0" fontId="9" fillId="0" borderId="2" xfId="0" applyNumberFormat="1" applyFont="1" applyFill="1" applyBorder="1" applyAlignment="1">
      <x:alignment horizontal="right" vertical="center"/>
    </x:xf>
    <x:xf numFmtId="0" fontId="9" fillId="0" borderId="3" xfId="0" applyNumberFormat="1" applyFont="1" applyFill="1" applyBorder="1" applyAlignment="1">
      <x:alignment horizontal="right" vertical="center"/>
    </x:xf>
    <x:xf numFmtId="0" fontId="9" fillId="0" borderId="4" xfId="0" applyNumberFormat="1" applyFont="1" applyFill="1" applyBorder="1" applyAlignment="1">
      <x:alignment horizontal="right" vertical="center"/>
    </x:xf>
    <x:xf numFmtId="200" fontId="9" fillId="0" borderId="2" xfId="0" applyNumberFormat="1" applyFont="1" applyFill="1" applyBorder="1" applyAlignment="1">
      <x:alignment horizontal="center" vertical="center"/>
    </x:xf>
    <x:xf numFmtId="200" fontId="9" fillId="0" borderId="3" xfId="0" applyNumberFormat="1" applyFont="1" applyFill="1" applyBorder="1" applyAlignment="1">
      <x:alignment horizontal="center" vertical="center"/>
    </x:xf>
    <x:xf numFmtId="200" fontId="9" fillId="0" borderId="4" xfId="0" applyNumberFormat="1" applyFont="1" applyFill="1" applyBorder="1" applyAlignment="1">
      <x:alignment horizontal="center" vertical="center"/>
    </x:xf>
    <x:xf numFmtId="202" fontId="9" fillId="0" borderId="2" xfId="0" applyNumberFormat="1" applyFont="1" applyFill="1" applyBorder="1" applyAlignment="1">
      <x:alignment horizontal="right" vertical="center"/>
    </x:xf>
    <x:xf numFmtId="202" fontId="9" fillId="0" borderId="3" xfId="0" applyNumberFormat="1" applyFont="1" applyFill="1" applyBorder="1" applyAlignment="1">
      <x:alignment horizontal="right" vertical="center"/>
    </x:xf>
    <x:xf numFmtId="202" fontId="9" fillId="0" borderId="4" xfId="0" applyNumberFormat="1" applyFont="1" applyFill="1" applyBorder="1" applyAlignment="1">
      <x:alignment horizontal="right" vertical="center"/>
    </x:xf>
    <x:xf numFmtId="200" fontId="9" fillId="0" borderId="2" xfId="0" applyNumberFormat="1" applyFont="1" applyFill="1" applyBorder="1" applyAlignment="1">
      <x:alignment horizontal="right" vertical="center"/>
    </x:xf>
    <x:xf numFmtId="200" fontId="9" fillId="0" borderId="3" xfId="0" applyNumberFormat="1" applyFont="1" applyFill="1" applyBorder="1" applyAlignment="1">
      <x:alignment horizontal="right" vertical="center"/>
    </x:xf>
    <x:xf numFmtId="200" fontId="9" fillId="0" borderId="4" xfId="0" applyNumberFormat="1" applyFont="1" applyFill="1" applyBorder="1" applyAlignment="1">
      <x:alignment horizontal="right" vertical="center"/>
    </x:xf>
    <x:xf numFmtId="202" fontId="9" fillId="5" borderId="2" xfId="0" applyNumberFormat="1" applyFont="1" applyFill="1" applyBorder="1" applyAlignment="1">
      <x:alignment horizontal="right" vertical="center"/>
    </x:xf>
    <x:xf numFmtId="202" fontId="9" fillId="5" borderId="3" xfId="0" applyNumberFormat="1" applyFont="1" applyFill="1" applyBorder="1" applyAlignment="1">
      <x:alignment horizontal="right" vertical="center"/>
    </x:xf>
    <x:xf numFmtId="202" fontId="9" fillId="5" borderId="4" xfId="0" applyNumberFormat="1" applyFont="1" applyFill="1" applyBorder="1" applyAlignment="1">
      <x:alignment horizontal="right" vertical="center"/>
    </x:xf>
    <x:xf numFmtId="202" fontId="10" fillId="5" borderId="2" xfId="0" applyNumberFormat="1" applyFont="1" applyFill="1" applyBorder="1" applyAlignment="1">
      <x:alignment horizontal="right" vertical="center"/>
    </x:xf>
    <x:xf numFmtId="202" fontId="10" fillId="5" borderId="3" xfId="0" applyNumberFormat="1" applyFont="1" applyFill="1" applyBorder="1" applyAlignment="1">
      <x:alignment horizontal="right" vertical="center"/>
    </x:xf>
    <x:xf numFmtId="202" fontId="10" fillId="5" borderId="4" xfId="0" applyNumberFormat="1" applyFont="1" applyFill="1" applyBorder="1" applyAlignment="1">
      <x:alignment horizontal="right" vertical="center"/>
    </x:xf>
    <x:xf numFmtId="0" fontId="9" fillId="5" borderId="2" xfId="0" applyNumberFormat="1" applyFont="1" applyFill="1" applyBorder="1" applyAlignment="1">
      <x:alignment horizontal="right" vertical="center"/>
    </x:xf>
    <x:xf numFmtId="0" fontId="9" fillId="5" borderId="3" xfId="0" applyNumberFormat="1" applyFont="1" applyFill="1" applyBorder="1" applyAlignment="1">
      <x:alignment horizontal="right" vertical="center"/>
    </x:xf>
    <x:xf numFmtId="0" fontId="9" fillId="5" borderId="4" xfId="0" applyNumberFormat="1" applyFont="1" applyFill="1" applyBorder="1" applyAlignment="1">
      <x:alignment horizontal="right" vertical="center"/>
    </x:xf>
    <x:xf numFmtId="0" fontId="10" fillId="5" borderId="2" xfId="0" applyNumberFormat="1" applyFont="1" applyFill="1" applyBorder="1" applyAlignment="1">
      <x:alignment horizontal="right" vertical="center"/>
    </x:xf>
    <x:xf numFmtId="0" fontId="10" fillId="5" borderId="3" xfId="0" applyNumberFormat="1" applyFont="1" applyFill="1" applyBorder="1" applyAlignment="1">
      <x:alignment horizontal="right" vertical="center"/>
    </x:xf>
    <x:xf numFmtId="0" fontId="10" fillId="5" borderId="4" xfId="0" applyNumberFormat="1" applyFont="1" applyFill="1" applyBorder="1" applyAlignment="1">
      <x:alignment horizontal="right" vertical="center"/>
    </x:xf>
    <x:xf numFmtId="200" fontId="9" fillId="5" borderId="2" xfId="0" applyNumberFormat="1" applyFont="1" applyFill="1" applyBorder="1" applyAlignment="1">
      <x:alignment horizontal="right" vertical="center"/>
    </x:xf>
    <x:xf numFmtId="200" fontId="9" fillId="5" borderId="3" xfId="0" applyNumberFormat="1" applyFont="1" applyFill="1" applyBorder="1" applyAlignment="1">
      <x:alignment horizontal="right" vertical="center"/>
    </x:xf>
    <x:xf numFmtId="200" fontId="9" fillId="5" borderId="4" xfId="0" applyNumberFormat="1" applyFont="1" applyFill="1" applyBorder="1" applyAlignment="1">
      <x:alignment horizontal="right" vertical="center"/>
    </x:xf>
    <x:xf numFmtId="200" fontId="10" fillId="5" borderId="2" xfId="0" applyNumberFormat="1" applyFont="1" applyFill="1" applyBorder="1" applyAlignment="1">
      <x:alignment horizontal="right" vertical="center"/>
    </x:xf>
    <x:xf numFmtId="200" fontId="10" fillId="5" borderId="3" xfId="0" applyNumberFormat="1" applyFont="1" applyFill="1" applyBorder="1" applyAlignment="1">
      <x:alignment horizontal="right" vertical="center"/>
    </x:xf>
    <x:xf numFmtId="200" fontId="10" fillId="5" borderId="4" xfId="0" applyNumberFormat="1" applyFont="1" applyFill="1" applyBorder="1" applyAlignment="1">
      <x:alignment horizontal="right" vertical="center"/>
    </x:xf>
    <x:xf numFmtId="0" fontId="10" fillId="5" borderId="2" xfId="0" applyNumberFormat="1" applyFont="1" applyFill="1" applyBorder="1" applyAlignment="1">
      <x:alignment horizontal="left" vertical="center"/>
    </x:xf>
    <x:xf numFmtId="0" fontId="10" fillId="5" borderId="3" xfId="0" applyNumberFormat="1" applyFont="1" applyFill="1" applyBorder="1" applyAlignment="1">
      <x:alignment horizontal="left" vertical="center"/>
    </x:xf>
    <x:xf numFmtId="0" fontId="10" fillId="5" borderId="4" xfId="0" applyNumberFormat="1" applyFont="1" applyFill="1" applyBorder="1" applyAlignment="1">
      <x:alignment horizontal="left" vertical="center"/>
    </x:xf>
    <x:xf numFmtId="0" fontId="11" fillId="2" borderId="0" xfId="0" applyNumberFormat="1" applyFont="1" applyFill="1" applyBorder="1"/>
    <x:xf numFmtId="0" fontId="0" fillId="4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2" xfId="0" applyNumberFormat="1" applyFont="1" applyFill="1" applyBorder="1"/>
    <x:xf numFmtId="0" fontId="9" fillId="4" borderId="4" xfId="0" applyNumberFormat="1" applyFont="1" applyFill="1" applyBorder="1"/>
    <x:xf numFmtId="0" fontId="12" fillId="4" borderId="2" xfId="0" applyNumberFormat="1" applyFont="1" applyFill="1" applyBorder="1"/>
    <x:xf numFmtId="0" fontId="12" fillId="4" borderId="4" xfId="0" applyNumberFormat="1" applyFont="1" applyFill="1" applyBorder="1"/>
    <x:xf numFmtId="203" fontId="9" fillId="4" borderId="2" xfId="0" applyNumberFormat="1" applyFont="1" applyFill="1" applyBorder="1"/>
    <x:xf numFmtId="203" fontId="9" fillId="4" borderId="2" xfId="0" applyNumberFormat="1" applyFont="1" applyFill="1" applyBorder="1" applyAlignment="1">
      <x:alignment horizontal="center"/>
    </x:xf>
    <x:xf numFmtId="0" fontId="9" fillId="4" borderId="2" xfId="0" applyNumberFormat="1" applyFont="1" applyFill="1" applyBorder="1" applyAlignment="1">
      <x:alignment horizontal="center"/>
    </x:xf>
    <x:xf numFmtId="0" fontId="9" fillId="4" borderId="4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vertical="center"/>
    </x:xf>
    <x:xf numFmtId="0" fontId="13" fillId="3" borderId="0" xfId="0" applyNumberFormat="1" applyFont="1" applyFill="1" applyBorder="1"/>
    <x:xf numFmtId="0" fontId="13" fillId="3" borderId="0" xfId="0" applyNumberFormat="1" applyFont="1" applyFill="1" applyBorder="1" applyAlignment="1">
      <x:alignment wrapText="1"/>
    </x:xf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wrapText="1"/>
    </x:xf>
    <x:xf numFmtId="0" fontId="11" fillId="7" borderId="0" xfId="0" applyNumberFormat="1" applyFont="1" applyFill="1" applyBorder="1" applyAlignment="1">
      <x:alignment horizontal="center" wrapText="1"/>
    </x:xf>
    <x:xf numFmtId="0" fontId="11" fillId="7" borderId="0" xfId="0" applyNumberFormat="1" applyFont="1" applyFill="1" applyBorder="1" applyAlignment="1">
      <x:alignment horizontal="center" vertical="center" wrapText="1"/>
    </x:xf>
    <x:xf numFmtId="0" fontId="9" fillId="0" borderId="2" xfId="0" applyNumberFormat="1" applyFont="1" applyFill="1" applyBorder="1" applyAlignment="1">
      <x:alignment wrapText="1"/>
    </x:xf>
    <x:xf numFmtId="0" fontId="9" fillId="0" borderId="3" xfId="0" applyNumberFormat="1" applyFont="1" applyFill="1" applyBorder="1" applyAlignment="1">
      <x:alignment wrapText="1"/>
    </x:xf>
    <x:xf numFmtId="0" fontId="9" fillId="0" borderId="4" xfId="0" applyNumberFormat="1" applyFont="1" applyFill="1" applyBorder="1" applyAlignment="1">
      <x:alignment wrapText="1"/>
    </x:xf>
    <x:xf numFmtId="0" fontId="9" fillId="0" borderId="2" xfId="0" applyNumberFormat="1" applyFont="1" applyFill="1" applyBorder="1" applyAlignment="1">
      <x:alignment vertical="center" wrapText="1"/>
    </x:xf>
    <x:xf numFmtId="0" fontId="9" fillId="0" borderId="3" xfId="0" applyNumberFormat="1" applyFont="1" applyFill="1" applyBorder="1" applyAlignment="1">
      <x:alignment vertical="center" wrapText="1"/>
    </x:xf>
    <x:xf numFmtId="0" fontId="9" fillId="0" borderId="4" xfId="0" applyNumberFormat="1" applyFont="1" applyFill="1" applyBorder="1" applyAlignment="1">
      <x:alignment vertical="center" wrapText="1"/>
    </x:xf>
    <x:xf numFmtId="0" fontId="12" fillId="0" borderId="2" xfId="0" applyNumberFormat="1" applyFont="1" applyFill="1" applyBorder="1" applyAlignment="1">
      <x:alignment vertical="center" wrapText="1"/>
    </x:xf>
    <x:xf numFmtId="0" fontId="12" fillId="0" borderId="3" xfId="0" applyNumberFormat="1" applyFont="1" applyFill="1" applyBorder="1" applyAlignment="1">
      <x:alignment vertical="center" wrapText="1"/>
    </x:xf>
    <x:xf numFmtId="0" fontId="12" fillId="0" borderId="4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horizontal="center" vertical="center" wrapText="1"/>
    </x:xf>
    <x:xf numFmtId="0" fontId="9" fillId="0" borderId="3" xfId="0" applyNumberFormat="1" applyFont="1" applyFill="1" applyBorder="1" applyAlignment="1">
      <x:alignment horizontal="center" vertical="center" wrapText="1"/>
    </x:xf>
    <x:xf numFmtId="0" fontId="9" fillId="0" borderId="4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vertical="center" wrapText="1"/>
    </x:xf>
    <x:xf numFmtId="0" fontId="3" fillId="6" borderId="3" xfId="0" applyNumberFormat="1" applyFont="1" applyFill="1" applyBorder="1" applyAlignment="1">
      <x:alignment vertical="center" wrapText="1"/>
    </x:xf>
    <x:xf numFmtId="0" fontId="3" fillId="6" borderId="4" xfId="0" applyNumberFormat="1" applyFont="1" applyFill="1" applyBorder="1" applyAlignment="1">
      <x:alignment vertical="center" wrapText="1"/>
    </x:xf>
    <x:xf numFmtId="0" fontId="7" fillId="6" borderId="2" xfId="0" applyNumberFormat="1" applyFont="1" applyFill="1" applyBorder="1" applyAlignment="1">
      <x:alignment vertical="center" wrapText="1"/>
    </x:xf>
    <x:xf numFmtId="0" fontId="7" fillId="6" borderId="3" xfId="0" applyNumberFormat="1" applyFont="1" applyFill="1" applyBorder="1" applyAlignment="1">
      <x:alignment vertical="center" wrapText="1"/>
    </x:xf>
    <x:xf numFmtId="0" fontId="7" fillId="6" borderId="4" xfId="0" applyNumberFormat="1" applyFont="1" applyFill="1" applyBorder="1" applyAlignment="1">
      <x:alignment vertical="center" wrapText="1"/>
    </x:xf>
    <x:xf numFmtId="0" fontId="7" fillId="6" borderId="2" xfId="0" applyNumberFormat="1" applyFont="1" applyFill="1" applyBorder="1" applyAlignment="1">
      <x:alignment horizontal="center" vertical="center" wrapText="1"/>
    </x:xf>
    <x:xf numFmtId="0" fontId="7" fillId="6" borderId="3" xfId="0" applyNumberFormat="1" applyFont="1" applyFill="1" applyBorder="1" applyAlignment="1">
      <x:alignment horizontal="center" vertical="center" wrapText="1"/>
    </x:xf>
    <x:xf numFmtId="0" fontId="7" fillId="6" borderId="4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4" fillId="5" borderId="0" xfId="0" applyNumberFormat="1" applyFont="1" applyFill="1" applyBorder="1"/>
    <x:xf numFmtId="0" fontId="14" fillId="5" borderId="0" xfId="0" applyNumberFormat="1" applyFont="1" applyFill="1" applyBorder="1" applyAlignment="1">
      <x:alignment wrapText="1"/>
    </x:xf>
    <x:xf numFmtId="204" fontId="10" fillId="5" borderId="2" xfId="0" applyNumberFormat="1" applyFont="1" applyFill="1" applyBorder="1" applyAlignment="1">
      <x:alignment horizontal="right" vertical="center"/>
    </x:xf>
    <x:xf numFmtId="204" fontId="10" fillId="5" borderId="3" xfId="0" applyNumberFormat="1" applyFont="1" applyFill="1" applyBorder="1" applyAlignment="1">
      <x:alignment horizontal="right" vertical="center"/>
    </x:xf>
    <x:xf numFmtId="204" fontId="10" fillId="5" borderId="4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2"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C62828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a73b143e78461d" /><Relationship Type="http://schemas.openxmlformats.org/officeDocument/2006/relationships/theme" Target="/xl/theme/theme1.xml" Id="R79f77e87d9f04f73" /><Relationship Type="http://schemas.openxmlformats.org/officeDocument/2006/relationships/sharedStrings" Target="/xl/sharedStrings.xml" Id="R11c5577972b44e16" /><Relationship Type="http://schemas.openxmlformats.org/officeDocument/2006/relationships/worksheet" Target="/xl/worksheets/sheet1.xml" Id="Rc77d71102ad54705" /><Relationship Type="http://schemas.openxmlformats.org/officeDocument/2006/relationships/worksheet" Target="/xl/worksheets/sheet2.xml" Id="Rba28bbf3afaa4e65" /></Relationships>
</file>

<file path=xl/tables/table1.xml><?xml version="1.0" encoding="utf-8"?>
<x:table xmlns:x="http://schemas.openxmlformats.org/spreadsheetml/2006/main" id="1" name="HSTECHMonthlyData" displayName="HSTECHMonthlyData" ref="A6:Y36" headerRowCount="1" totalsRowCount="0" totalsRowShown="0">
  <x:autoFilter ref="A6:Y36"/>
  <x:tableColumns count="25">
    <x:tableColumn id="1" name="index_code"/>
    <x:tableColumn id="2" name="as_of_date"/>
    <x:tableColumn id="3" name="security_code"/>
    <x:tableColumn id="4" name="ticker"/>
    <x:tableColumn id="5" name="name_en"/>
    <x:tableColumn id="6" name="name_zh_hant"/>
    <x:tableColumn id="7" name="close_price"/>
    <x:tableColumn id="8" name="currency"/>
    <x:tableColumn id="9" name="weight_pct"/>
    <x:tableColumn id="10" name="source_industry_code"/>
    <x:tableColumn id="11" name="period_end"/>
    <x:tableColumn id="12" name="period_start_1m"/>
    <x:tableColumn id="13" name="return_1m_pct"/>
    <x:tableColumn id="14" name="return_1m_missing_reason"/>
    <x:tableColumn id="15" name="period_start_3m"/>
    <x:tableColumn id="16" name="return_3m_pct"/>
    <x:tableColumn id="17" name="return_3m_missing_reason"/>
    <x:tableColumn id="18" name="period_start_6m"/>
    <x:tableColumn id="19" name="return_6m_pct"/>
    <x:tableColumn id="20" name="return_6m_missing_reason"/>
    <x:tableColumn id="21" name="period_start_ytd"/>
    <x:tableColumn id="22" name="return_ytd_pct"/>
    <x:tableColumn id="23" name="return_ytd_missing_reason"/>
    <x:tableColumn id="24" name="constituent_source"/>
    <x:tableColumn id="25" name="return_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3649e968e7642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4" hidden="0" customWidth="1"/>
    <x:col min="5" max="5" width="22" hidden="0" customWidth="1"/>
    <x:col min="6" max="6" width="18" hidden="0" customWidth="1"/>
    <x:col min="7" max="7" width="13" hidden="0" customWidth="1"/>
    <x:col min="8" max="8" width="10" hidden="0" customWidth="1"/>
    <x:col min="9" max="9" width="13" hidden="0" customWidth="1"/>
    <x:col min="10" max="10" width="18" hidden="0" customWidth="1"/>
    <x:col min="11" max="11" width="13" hidden="0" customWidth="1"/>
    <x:col min="12" max="12" width="16" hidden="0" customWidth="1"/>
    <x:col min="13" max="13" width="15" hidden="0" customWidth="1"/>
    <x:col min="14" max="14" width="24" hidden="0" customWidth="1"/>
    <x:col min="15" max="15" width="16" hidden="0" customWidth="1"/>
    <x:col min="16" max="16" width="15" hidden="0" customWidth="1"/>
    <x:col min="17" max="17" width="24" hidden="0" customWidth="1"/>
    <x:col min="18" max="18" width="16" hidden="0" customWidth="1"/>
    <x:col min="19" max="19" width="15" hidden="0" customWidth="1"/>
    <x:col min="20" max="20" width="24" hidden="0" customWidth="1"/>
    <x:col min="21" max="21" width="16" hidden="0" customWidth="1"/>
    <x:col min="22" max="22" width="15" hidden="0" customWidth="1"/>
    <x:col min="23" max="23" width="24" hidden="0" customWidth="1"/>
    <x:col min="24" max="24" width="28" hidden="0" customWidth="1"/>
    <x:col min="25" max="25" width="22" hidden="0" customWidth="1"/>
  </x:cols>
  <x:sheetData>
    <x:row r="1" ht="34" customHeight="1">
      <x:c r="A1" s="4" t="str">
        <x:v>The Performance of HSTECH Constituents — Monthly Data Request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</x:row>
    <x:row r="2" ht="40" customHeight="1">
      <x:c r="A2" s="8" t="str">
        <x:v>月度要求：每个报告月份提供一份完整的HSTECH成份股快照；黄色单元格由数据提供方填写，回报均采用Total Return百分数口径。当前名单为2026年6月项目样例，正式拉取前须按当月有效名单复核。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</x:row>
    <x:row r="4" ht="26" customHeight="1">
      <x:c r="A4" s="12" t="str">
        <x:v>报告月末日期</x:v>
      </x:c>
      <x:c r="B4" s="16" t="n">
        <x:v>46203</x:v>
      </x:c>
      <x:c r="C4" s="10"/>
      <x:c r="D4" s="12" t="str">
        <x:v>指数代码</x:v>
      </x:c>
      <x:c r="E4" s="17" t="str">
        <x:v>HSTECH</x:v>
      </x:c>
      <x:c r="F4" s="10"/>
      <x:c r="G4" s="12" t="str">
        <x:v>数据频率</x:v>
      </x:c>
      <x:c r="H4" s="21" t="str">
        <x:v>MONTHLY（月度）</x:v>
      </x:c>
      <x:c r="I4" s="21"/>
      <x:c r="J4" s="12" t="str">
        <x:v>成份股数量</x:v>
      </x:c>
      <x:c r="K4" s="23" t="n">
        <x:f>COUNTA(C7:C36)</x:f>
        <x:v>30</x:v>
      </x:c>
      <x:c r="L4" s="10"/>
      <x:c r="M4" s="10"/>
      <x:c r="N4" s="10"/>
      <x:c r="O4" s="10"/>
      <x:c r="P4" s="10"/>
      <x:c r="Q4" s="10"/>
      <x:c r="R4" s="10"/>
      <x:c r="S4" s="10"/>
      <x:c r="T4" s="10"/>
      <x:c r="U4" s="10"/>
      <x:c r="V4" s="10"/>
      <x:c r="W4" s="10"/>
      <x:c r="X4" s="10"/>
      <x:c r="Y4" s="10"/>
    </x:row>
    <x:row r="5" ht="26" customHeight="1">
      <x:c r="A5" s="12" t="str">
        <x:v>成份股来源</x:v>
      </x:c>
      <x:c r="B5" s="18" t="str">
        <x:v>Hang Seng Indexes Company Limited</x:v>
      </x:c>
      <x:c r="C5" s="18"/>
      <x:c r="D5" s="12" t="str">
        <x:v>回报来源</x:v>
      </x:c>
      <x:c r="E5" s="18" t="str">
        <x:v>Financial Modeling Prep dividend-adjusted EOD</x:v>
      </x:c>
      <x:c r="F5" s="18"/>
      <x:c r="G5" s="12" t="str">
        <x:v>回报口径</x:v>
      </x:c>
      <x:c r="H5" s="21" t="str">
        <x:v>Total Return (%)</x:v>
      </x:c>
      <x:c r="I5" s="21"/>
      <x:c r="J5" s="12" t="str">
        <x:v>更新要求</x:v>
      </x:c>
      <x:c r="K5" s="8" t="str">
        <x:v>每月按当月月末有效HSTECH名单更新；不得沿用上月名单而不复核。</x:v>
      </x:c>
      <x:c r="L5" s="8"/>
      <x:c r="M5" s="8"/>
      <x:c r="N5" s="8"/>
      <x:c r="O5" s="8"/>
      <x:c r="P5" s="8"/>
      <x:c r="Q5" s="8"/>
      <x:c r="R5" s="8"/>
      <x:c r="S5" s="8"/>
      <x:c r="T5" s="8"/>
      <x:c r="U5" s="8"/>
      <x:c r="V5" s="8"/>
      <x:c r="W5" s="8"/>
      <x:c r="X5" s="8"/>
      <x:c r="Y5" s="8"/>
    </x:row>
    <x:row r="6" ht="54" customHeight="1">
      <x:c r="A6" s="31" t="str">
        <x:v>index_code</x:v>
      </x:c>
      <x:c r="B6" s="31" t="str">
        <x:v>as_of_date</x:v>
      </x:c>
      <x:c r="C6" s="31" t="str">
        <x:v>security_code</x:v>
      </x:c>
      <x:c r="D6" s="31" t="str">
        <x:v>ticker</x:v>
      </x:c>
      <x:c r="E6" s="31" t="str">
        <x:v>name_en</x:v>
      </x:c>
      <x:c r="F6" s="31" t="str">
        <x:v>name_zh_hant</x:v>
      </x:c>
      <x:c r="G6" s="31" t="str">
        <x:v>close_price</x:v>
      </x:c>
      <x:c r="H6" s="31" t="str">
        <x:v>currency</x:v>
      </x:c>
      <x:c r="I6" s="31" t="str">
        <x:v>weight_pct</x:v>
      </x:c>
      <x:c r="J6" s="31" t="str">
        <x:v>source_industry_code</x:v>
      </x:c>
      <x:c r="K6" s="31" t="str">
        <x:v>period_end</x:v>
      </x:c>
      <x:c r="L6" s="31" t="str">
        <x:v>period_start_1m</x:v>
      </x:c>
      <x:c r="M6" s="31" t="str">
        <x:v>return_1m_pct</x:v>
      </x:c>
      <x:c r="N6" s="31" t="str">
        <x:v>return_1m_missing_reason</x:v>
      </x:c>
      <x:c r="O6" s="31" t="str">
        <x:v>period_start_3m</x:v>
      </x:c>
      <x:c r="P6" s="31" t="str">
        <x:v>return_3m_pct</x:v>
      </x:c>
      <x:c r="Q6" s="31" t="str">
        <x:v>return_3m_missing_reason</x:v>
      </x:c>
      <x:c r="R6" s="31" t="str">
        <x:v>period_start_6m</x:v>
      </x:c>
      <x:c r="S6" s="31" t="str">
        <x:v>return_6m_pct</x:v>
      </x:c>
      <x:c r="T6" s="31" t="str">
        <x:v>return_6m_missing_reason</x:v>
      </x:c>
      <x:c r="U6" s="31" t="str">
        <x:v>period_start_ytd</x:v>
      </x:c>
      <x:c r="V6" s="31" t="str">
        <x:v>return_ytd_pct</x:v>
      </x:c>
      <x:c r="W6" s="31" t="str">
        <x:v>return_ytd_missing_reason</x:v>
      </x:c>
      <x:c r="X6" s="31" t="str">
        <x:v>constituent_source</x:v>
      </x:c>
      <x:c r="Y6" s="31" t="str">
        <x:v>return_source</x:v>
      </x:c>
    </x:row>
    <x:row r="7" ht="23" customHeight="1">
      <x:c r="A7" s="39" t="str">
        <x:f>$E$4</x:f>
        <x:v>HSTECH</x:v>
      </x:c>
      <x:c r="B7" s="48" t="n">
        <x:f>$B$4</x:f>
        <x:v>46203</x:v>
      </x:c>
      <x:c r="C7" s="39" t="str">
        <x:v>981</x:v>
      </x:c>
      <x:c r="D7" s="39" t="str">
        <x:v>0981.HK</x:v>
      </x:c>
      <x:c r="E7" s="42" t="str">
        <x:v>SMIC</x:v>
      </x:c>
      <x:c r="F7" s="42" t="str">
        <x:v>中芯國際</x:v>
      </x:c>
      <x:c r="G7" s="60"/>
      <x:c r="H7" s="45" t="str">
        <x:v>HKD</x:v>
      </x:c>
      <x:c r="I7" s="60"/>
      <x:c r="J7" s="66"/>
      <x:c r="K7" s="54" t="n">
        <x:v>46203</x:v>
      </x:c>
      <x:c r="L7" s="72" t="n">
        <x:v>46171</x:v>
      </x:c>
      <x:c r="M7" s="130" t="n">
        <x:v>9.558823529411764</x:v>
      </x:c>
      <x:c r="N7" s="75"/>
      <x:c r="O7" s="72" t="n">
        <x:v>46112</x:v>
      </x:c>
      <x:c r="P7" s="130" t="n">
        <x:v>76.33136094674556</x:v>
      </x:c>
      <x:c r="Q7" s="75"/>
      <x:c r="R7" s="72" t="n">
        <x:v>46022</x:v>
      </x:c>
      <x:c r="S7" s="130" t="n">
        <x:v>25.122463261021693</x:v>
      </x:c>
      <x:c r="T7" s="75"/>
      <x:c r="U7" s="72" t="n">
        <x:v>46022</x:v>
      </x:c>
      <x:c r="V7" s="130" t="n">
        <x:v>25.122463261021693</x:v>
      </x:c>
      <x:c r="W7" s="75"/>
      <x:c r="X7" s="45" t="str">
        <x:f>$B$5</x:f>
        <x:v>Hang Seng Indexes Company Limited</x:v>
      </x:c>
      <x:c r="Y7" s="45" t="str">
        <x:f>$E$5</x:f>
        <x:v>Financial Modeling Prep dividend-adjusted EOD</x:v>
      </x:c>
    </x:row>
    <x:row r="8" ht="23" customHeight="1">
      <x:c r="A8" s="40" t="str">
        <x:f>$E$4</x:f>
        <x:v>HSTECH</x:v>
      </x:c>
      <x:c r="B8" s="49" t="n">
        <x:f>$B$4</x:f>
        <x:v>46203</x:v>
      </x:c>
      <x:c r="C8" s="40" t="str">
        <x:v>9999</x:v>
      </x:c>
      <x:c r="D8" s="40" t="str">
        <x:v>9999.HK</x:v>
      </x:c>
      <x:c r="E8" s="43" t="str">
        <x:v>NTES - S</x:v>
      </x:c>
      <x:c r="F8" s="43" t="str">
        <x:v>網易 - S</x:v>
      </x:c>
      <x:c r="G8" s="61"/>
      <x:c r="H8" s="46" t="str">
        <x:v>HKD</x:v>
      </x:c>
      <x:c r="I8" s="61"/>
      <x:c r="J8" s="67"/>
      <x:c r="K8" s="55" t="n">
        <x:v>46203</x:v>
      </x:c>
      <x:c r="L8" s="73" t="n">
        <x:v>46171</x:v>
      </x:c>
      <x:c r="M8" s="131" t="n">
        <x:v>4.881334853352679</x:v>
      </x:c>
      <x:c r="N8" s="76"/>
      <x:c r="O8" s="73" t="n">
        <x:v>46112</x:v>
      </x:c>
      <x:c r="P8" s="131" t="n">
        <x:v>19.395941481831052</x:v>
      </x:c>
      <x:c r="Q8" s="76"/>
      <x:c r="R8" s="73" t="n">
        <x:v>46022</x:v>
      </x:c>
      <x:c r="S8" s="131" t="n">
        <x:v>-4.1984190845837075</x:v>
      </x:c>
      <x:c r="T8" s="76"/>
      <x:c r="U8" s="73" t="n">
        <x:v>46022</x:v>
      </x:c>
      <x:c r="V8" s="131" t="n">
        <x:v>-4.1984190845837075</x:v>
      </x:c>
      <x:c r="W8" s="76"/>
      <x:c r="X8" s="46" t="str">
        <x:f>$B$5</x:f>
        <x:v>Hang Seng Indexes Company Limited</x:v>
      </x:c>
      <x:c r="Y8" s="46" t="str">
        <x:f>$E$5</x:f>
        <x:v>Financial Modeling Prep dividend-adjusted EOD</x:v>
      </x:c>
    </x:row>
    <x:row r="9" ht="23" customHeight="1">
      <x:c r="A9" s="40" t="str">
        <x:f>$E$4</x:f>
        <x:v>HSTECH</x:v>
      </x:c>
      <x:c r="B9" s="49" t="n">
        <x:f>$B$4</x:f>
        <x:v>46203</x:v>
      </x:c>
      <x:c r="C9" s="40" t="str">
        <x:v>700</x:v>
      </x:c>
      <x:c r="D9" s="40" t="str">
        <x:v>0700.HK</x:v>
      </x:c>
      <x:c r="E9" s="43" t="str">
        <x:v>TENCENT</x:v>
      </x:c>
      <x:c r="F9" s="43" t="str">
        <x:v>騰訊控股</x:v>
      </x:c>
      <x:c r="G9" s="61"/>
      <x:c r="H9" s="46" t="str">
        <x:v>HKD</x:v>
      </x:c>
      <x:c r="I9" s="61"/>
      <x:c r="J9" s="67"/>
      <x:c r="K9" s="55" t="n">
        <x:v>46203</x:v>
      </x:c>
      <x:c r="L9" s="73" t="n">
        <x:v>46171</x:v>
      </x:c>
      <x:c r="M9" s="131" t="n">
        <x:v>0.6086142322097379</x:v>
      </x:c>
      <x:c r="N9" s="76"/>
      <x:c r="O9" s="73" t="n">
        <x:v>46112</x:v>
      </x:c>
      <x:c r="P9" s="131" t="n">
        <x:v>-10.168251645940014</x:v>
      </x:c>
      <x:c r="Q9" s="76"/>
      <x:c r="R9" s="73" t="n">
        <x:v>46022</x:v>
      </x:c>
      <x:c r="S9" s="131" t="n">
        <x:v>-27.415813827810993</x:v>
      </x:c>
      <x:c r="T9" s="76"/>
      <x:c r="U9" s="73" t="n">
        <x:v>46022</x:v>
      </x:c>
      <x:c r="V9" s="131" t="n">
        <x:v>-27.415813827810993</x:v>
      </x:c>
      <x:c r="W9" s="76"/>
      <x:c r="X9" s="46" t="str">
        <x:f>$B$5</x:f>
        <x:v>Hang Seng Indexes Company Limited</x:v>
      </x:c>
      <x:c r="Y9" s="46" t="str">
        <x:f>$E$5</x:f>
        <x:v>Financial Modeling Prep dividend-adjusted EOD</x:v>
      </x:c>
    </x:row>
    <x:row r="10" ht="23" customHeight="1">
      <x:c r="A10" s="40" t="str">
        <x:f>$E$4</x:f>
        <x:v>HSTECH</x:v>
      </x:c>
      <x:c r="B10" s="49" t="n">
        <x:f>$B$4</x:f>
        <x:v>46203</x:v>
      </x:c>
      <x:c r="C10" s="40" t="str">
        <x:v>3690</x:v>
      </x:c>
      <x:c r="D10" s="40" t="str">
        <x:v>3690.HK</x:v>
      </x:c>
      <x:c r="E10" s="43" t="str">
        <x:v>MEITUAN - W</x:v>
      </x:c>
      <x:c r="F10" s="43" t="str">
        <x:v>美團 - W</x:v>
      </x:c>
      <x:c r="G10" s="61"/>
      <x:c r="H10" s="46" t="str">
        <x:v>HKD</x:v>
      </x:c>
      <x:c r="I10" s="61"/>
      <x:c r="J10" s="67"/>
      <x:c r="K10" s="55" t="n">
        <x:v>46203</x:v>
      </x:c>
      <x:c r="L10" s="73" t="n">
        <x:v>46171</x:v>
      </x:c>
      <x:c r="M10" s="131" t="n">
        <x:v>-6.73927842069435</x:v>
      </x:c>
      <x:c r="N10" s="76"/>
      <x:c r="O10" s="73" t="n">
        <x:v>46112</x:v>
      </x:c>
      <x:c r="P10" s="131" t="n">
        <x:v>-17.42013261000603</x:v>
      </x:c>
      <x:c r="Q10" s="76"/>
      <x:c r="R10" s="73" t="n">
        <x:v>46022</x:v>
      </x:c>
      <x:c r="S10" s="131" t="n">
        <x:v>-33.68828654404646</x:v>
      </x:c>
      <x:c r="T10" s="76"/>
      <x:c r="U10" s="73" t="n">
        <x:v>46022</x:v>
      </x:c>
      <x:c r="V10" s="131" t="n">
        <x:v>-33.68828654404646</x:v>
      </x:c>
      <x:c r="W10" s="76"/>
      <x:c r="X10" s="46" t="str">
        <x:f>$B$5</x:f>
        <x:v>Hang Seng Indexes Company Limited</x:v>
      </x:c>
      <x:c r="Y10" s="46" t="str">
        <x:f>$E$5</x:f>
        <x:v>Financial Modeling Prep dividend-adjusted EOD</x:v>
      </x:c>
    </x:row>
    <x:row r="11" ht="23" customHeight="1">
      <x:c r="A11" s="40" t="str">
        <x:f>$E$4</x:f>
        <x:v>HSTECH</x:v>
      </x:c>
      <x:c r="B11" s="49" t="n">
        <x:f>$B$4</x:f>
        <x:v>46203</x:v>
      </x:c>
      <x:c r="C11" s="40" t="str">
        <x:v>1211</x:v>
      </x:c>
      <x:c r="D11" s="40" t="str">
        <x:v>1211.HK</x:v>
      </x:c>
      <x:c r="E11" s="43" t="str">
        <x:v>BYD COMPANY</x:v>
      </x:c>
      <x:c r="F11" s="43" t="str">
        <x:v>比亞迪股份</x:v>
      </x:c>
      <x:c r="G11" s="61"/>
      <x:c r="H11" s="46" t="str">
        <x:v>HKD</x:v>
      </x:c>
      <x:c r="I11" s="61"/>
      <x:c r="J11" s="67"/>
      <x:c r="K11" s="55" t="n">
        <x:v>46203</x:v>
      </x:c>
      <x:c r="L11" s="73" t="n">
        <x:v>46171</x:v>
      </x:c>
      <x:c r="M11" s="131" t="n">
        <x:v>-20.270716408055463</x:v>
      </x:c>
      <x:c r="N11" s="76"/>
      <x:c r="O11" s="73" t="n">
        <x:v>46112</x:v>
      </x:c>
      <x:c r="P11" s="131" t="n">
        <x:v>-31.203114613996775</x:v>
      </x:c>
      <x:c r="Q11" s="76"/>
      <x:c r="R11" s="73" t="n">
        <x:v>46022</x:v>
      </x:c>
      <x:c r="S11" s="131" t="n">
        <x:v>-23.664524286165843</x:v>
      </x:c>
      <x:c r="T11" s="76"/>
      <x:c r="U11" s="73" t="n">
        <x:v>46022</x:v>
      </x:c>
      <x:c r="V11" s="131" t="n">
        <x:v>-23.664524286165843</x:v>
      </x:c>
      <x:c r="W11" s="76"/>
      <x:c r="X11" s="46" t="str">
        <x:f>$B$5</x:f>
        <x:v>Hang Seng Indexes Company Limited</x:v>
      </x:c>
      <x:c r="Y11" s="46" t="str">
        <x:f>$E$5</x:f>
        <x:v>Financial Modeling Prep dividend-adjusted EOD</x:v>
      </x:c>
    </x:row>
    <x:row r="12" ht="23" customHeight="1">
      <x:c r="A12" s="40" t="str">
        <x:f>$E$4</x:f>
        <x:v>HSTECH</x:v>
      </x:c>
      <x:c r="B12" s="49" t="n">
        <x:f>$B$4</x:f>
        <x:v>46203</x:v>
      </x:c>
      <x:c r="C12" s="40" t="str">
        <x:v>1810</x:v>
      </x:c>
      <x:c r="D12" s="40" t="str">
        <x:v>1810.HK</x:v>
      </x:c>
      <x:c r="E12" s="43" t="str">
        <x:v>XIAOMI - W</x:v>
      </x:c>
      <x:c r="F12" s="43" t="str">
        <x:v>小米集團 - W</x:v>
      </x:c>
      <x:c r="G12" s="61"/>
      <x:c r="H12" s="46" t="str">
        <x:v>HKD</x:v>
      </x:c>
      <x:c r="I12" s="61"/>
      <x:c r="J12" s="67"/>
      <x:c r="K12" s="55" t="n">
        <x:v>46203</x:v>
      </x:c>
      <x:c r="L12" s="73" t="n">
        <x:v>46171</x:v>
      </x:c>
      <x:c r="M12" s="131" t="n">
        <x:v>-22.82453637660485</x:v>
      </x:c>
      <x:c r="N12" s="76"/>
      <x:c r="O12" s="73" t="n">
        <x:v>46112</x:v>
      </x:c>
      <x:c r="P12" s="131" t="n">
        <x:v>-31.863979848866496</x:v>
      </x:c>
      <x:c r="Q12" s="76"/>
      <x:c r="R12" s="73" t="n">
        <x:v>46022</x:v>
      </x:c>
      <x:c r="S12" s="131" t="n">
        <x:v>-44.93638676844784</x:v>
      </x:c>
      <x:c r="T12" s="76"/>
      <x:c r="U12" s="73" t="n">
        <x:v>46022</x:v>
      </x:c>
      <x:c r="V12" s="131" t="n">
        <x:v>-44.93638676844784</x:v>
      </x:c>
      <x:c r="W12" s="76"/>
      <x:c r="X12" s="46" t="str">
        <x:f>$B$5</x:f>
        <x:v>Hang Seng Indexes Company Limited</x:v>
      </x:c>
      <x:c r="Y12" s="46" t="str">
        <x:f>$E$5</x:f>
        <x:v>Financial Modeling Prep dividend-adjusted EOD</x:v>
      </x:c>
    </x:row>
    <x:row r="13" ht="23" customHeight="1">
      <x:c r="A13" s="40" t="str">
        <x:f>$E$4</x:f>
        <x:v>HSTECH</x:v>
      </x:c>
      <x:c r="B13" s="49" t="n">
        <x:f>$B$4</x:f>
        <x:v>46203</x:v>
      </x:c>
      <x:c r="C13" s="40" t="str">
        <x:v>9988</x:v>
      </x:c>
      <x:c r="D13" s="40" t="str">
        <x:v>9988.HK</x:v>
      </x:c>
      <x:c r="E13" s="43" t="str">
        <x:v>BABA - W</x:v>
      </x:c>
      <x:c r="F13" s="43" t="str">
        <x:v>阿里巴巴 - W</x:v>
      </x:c>
      <x:c r="G13" s="61"/>
      <x:c r="H13" s="46" t="str">
        <x:v>HKD</x:v>
      </x:c>
      <x:c r="I13" s="61"/>
      <x:c r="J13" s="67"/>
      <x:c r="K13" s="55" t="n">
        <x:v>46203</x:v>
      </x:c>
      <x:c r="L13" s="73" t="n">
        <x:v>46171</x:v>
      </x:c>
      <x:c r="M13" s="131" t="n">
        <x:v>-22.5216955941255</x:v>
      </x:c>
      <x:c r="N13" s="76"/>
      <x:c r="O13" s="73" t="n">
        <x:v>46112</x:v>
      </x:c>
      <x:c r="P13" s="131" t="n">
        <x:v>-21.293549207425617</x:v>
      </x:c>
      <x:c r="Q13" s="76"/>
      <x:c r="R13" s="73" t="n">
        <x:v>46022</x:v>
      </x:c>
      <x:c r="S13" s="131" t="n">
        <x:v>-34.409437694263914</x:v>
      </x:c>
      <x:c r="T13" s="76"/>
      <x:c r="U13" s="73" t="n">
        <x:v>46022</x:v>
      </x:c>
      <x:c r="V13" s="131" t="n">
        <x:v>-34.409437694263914</x:v>
      </x:c>
      <x:c r="W13" s="76"/>
      <x:c r="X13" s="46" t="str">
        <x:f>$B$5</x:f>
        <x:v>Hang Seng Indexes Company Limited</x:v>
      </x:c>
      <x:c r="Y13" s="46" t="str">
        <x:f>$E$5</x:f>
        <x:v>Financial Modeling Prep dividend-adjusted EOD</x:v>
      </x:c>
    </x:row>
    <x:row r="14" ht="23" customHeight="1">
      <x:c r="A14" s="40" t="str">
        <x:f>$E$4</x:f>
        <x:v>HSTECH</x:v>
      </x:c>
      <x:c r="B14" s="49" t="n">
        <x:f>$B$4</x:f>
        <x:v>46203</x:v>
      </x:c>
      <x:c r="C14" s="40" t="str">
        <x:v>1347</x:v>
      </x:c>
      <x:c r="D14" s="40" t="str">
        <x:v>1347.HK</x:v>
      </x:c>
      <x:c r="E14" s="43" t="str">
        <x:v>HUA HONG GRACE</x:v>
      </x:c>
      <x:c r="F14" s="43" t="str">
        <x:v>華虹宏力</x:v>
      </x:c>
      <x:c r="G14" s="61"/>
      <x:c r="H14" s="46" t="str">
        <x:v>HKD</x:v>
      </x:c>
      <x:c r="I14" s="61"/>
      <x:c r="J14" s="67"/>
      <x:c r="K14" s="55" t="n">
        <x:v>46203</x:v>
      </x:c>
      <x:c r="L14" s="73" t="n">
        <x:v>46171</x:v>
      </x:c>
      <x:c r="M14" s="131" t="n">
        <x:v>33.41599504029758</x:v>
      </x:c>
      <x:c r="N14" s="76"/>
      <x:c r="O14" s="73" t="n">
        <x:v>46112</x:v>
      </x:c>
      <x:c r="P14" s="131" t="n">
        <x:v>177.14101738570508</x:v>
      </x:c>
      <x:c r="Q14" s="76"/>
      <x:c r="R14" s="73" t="n">
        <x:v>46022</x:v>
      </x:c>
      <x:c r="S14" s="131" t="n">
        <x:v>189.63660834454913</x:v>
      </x:c>
      <x:c r="T14" s="76"/>
      <x:c r="U14" s="73" t="n">
        <x:v>46022</x:v>
      </x:c>
      <x:c r="V14" s="131" t="n">
        <x:v>189.63660834454913</x:v>
      </x:c>
      <x:c r="W14" s="76"/>
      <x:c r="X14" s="46" t="str">
        <x:f>$B$5</x:f>
        <x:v>Hang Seng Indexes Company Limited</x:v>
      </x:c>
      <x:c r="Y14" s="46" t="str">
        <x:f>$E$5</x:f>
        <x:v>Financial Modeling Prep dividend-adjusted EOD</x:v>
      </x:c>
    </x:row>
    <x:row r="15" ht="23" customHeight="1">
      <x:c r="A15" s="40" t="str">
        <x:f>$E$4</x:f>
        <x:v>HSTECH</x:v>
      </x:c>
      <x:c r="B15" s="49" t="n">
        <x:f>$B$4</x:f>
        <x:v>46203</x:v>
      </x:c>
      <x:c r="C15" s="40" t="str">
        <x:v>9888</x:v>
      </x:c>
      <x:c r="D15" s="40" t="str">
        <x:v>9888.HK</x:v>
      </x:c>
      <x:c r="E15" s="43" t="str">
        <x:v>BIDU - SW</x:v>
      </x:c>
      <x:c r="F15" s="43" t="str">
        <x:v>百度集團 - SW</x:v>
      </x:c>
      <x:c r="G15" s="61"/>
      <x:c r="H15" s="46" t="str">
        <x:v>HKD</x:v>
      </x:c>
      <x:c r="I15" s="61"/>
      <x:c r="J15" s="67"/>
      <x:c r="K15" s="55" t="n">
        <x:v>46203</x:v>
      </x:c>
      <x:c r="L15" s="73" t="n">
        <x:v>46171</x:v>
      </x:c>
      <x:c r="M15" s="131" t="n">
        <x:v>-15.692307692307692</x:v>
      </x:c>
      <x:c r="N15" s="76"/>
      <x:c r="O15" s="73" t="n">
        <x:v>46112</x:v>
      </x:c>
      <x:c r="P15" s="131" t="n">
        <x:v>3.6896877956480605</x:v>
      </x:c>
      <x:c r="Q15" s="76"/>
      <x:c r="R15" s="73" t="n">
        <x:v>46022</x:v>
      </x:c>
      <x:c r="S15" s="131" t="n">
        <x:v>-16.65399239543726</x:v>
      </x:c>
      <x:c r="T15" s="76"/>
      <x:c r="U15" s="73" t="n">
        <x:v>46022</x:v>
      </x:c>
      <x:c r="V15" s="131" t="n">
        <x:v>-16.65399239543726</x:v>
      </x:c>
      <x:c r="W15" s="76"/>
      <x:c r="X15" s="46" t="str">
        <x:f>$B$5</x:f>
        <x:v>Hang Seng Indexes Company Limited</x:v>
      </x:c>
      <x:c r="Y15" s="46" t="str">
        <x:f>$E$5</x:f>
        <x:v>Financial Modeling Prep dividend-adjusted EOD</x:v>
      </x:c>
    </x:row>
    <x:row r="16" ht="23" customHeight="1">
      <x:c r="A16" s="40" t="str">
        <x:f>$E$4</x:f>
        <x:v>HSTECH</x:v>
      </x:c>
      <x:c r="B16" s="49" t="n">
        <x:f>$B$4</x:f>
        <x:v>46203</x:v>
      </x:c>
      <x:c r="C16" s="40" t="str">
        <x:v>9618</x:v>
      </x:c>
      <x:c r="D16" s="40" t="str">
        <x:v>9618.HK</x:v>
      </x:c>
      <x:c r="E16" s="43" t="str">
        <x:v>JD - SW</x:v>
      </x:c>
      <x:c r="F16" s="43" t="str">
        <x:v>京東集團 - SW</x:v>
      </x:c>
      <x:c r="G16" s="61"/>
      <x:c r="H16" s="46" t="str">
        <x:v>HKD</x:v>
      </x:c>
      <x:c r="I16" s="61"/>
      <x:c r="J16" s="67"/>
      <x:c r="K16" s="55" t="n">
        <x:v>46203</x:v>
      </x:c>
      <x:c r="L16" s="73" t="n">
        <x:v>46171</x:v>
      </x:c>
      <x:c r="M16" s="131" t="n">
        <x:v>-12.555066079295155</x:v>
      </x:c>
      <x:c r="N16" s="76"/>
      <x:c r="O16" s="73" t="n">
        <x:v>46112</x:v>
      </x:c>
      <x:c r="P16" s="131" t="n">
        <x:v>-9.145001830831196</x:v>
      </x:c>
      <x:c r="Q16" s="76"/>
      <x:c r="R16" s="73" t="n">
        <x:v>46022</x:v>
      </x:c>
      <x:c r="S16" s="131" t="n">
        <x:v>-11.0663082437276</x:v>
      </x:c>
      <x:c r="T16" s="76"/>
      <x:c r="U16" s="73" t="n">
        <x:v>46022</x:v>
      </x:c>
      <x:c r="V16" s="131" t="n">
        <x:v>-11.0663082437276</x:v>
      </x:c>
      <x:c r="W16" s="76"/>
      <x:c r="X16" s="46" t="str">
        <x:f>$B$5</x:f>
        <x:v>Hang Seng Indexes Company Limited</x:v>
      </x:c>
      <x:c r="Y16" s="46" t="str">
        <x:f>$E$5</x:f>
        <x:v>Financial Modeling Prep dividend-adjusted EOD</x:v>
      </x:c>
    </x:row>
    <x:row r="17" ht="23" customHeight="1">
      <x:c r="A17" s="40" t="str">
        <x:f>$E$4</x:f>
        <x:v>HSTECH</x:v>
      </x:c>
      <x:c r="B17" s="49" t="n">
        <x:f>$B$4</x:f>
        <x:v>46203</x:v>
      </x:c>
      <x:c r="C17" s="40" t="str">
        <x:v>992</x:v>
      </x:c>
      <x:c r="D17" s="40" t="str">
        <x:v>0992.HK</x:v>
      </x:c>
      <x:c r="E17" s="43" t="str">
        <x:v>LENOVO GROUP</x:v>
      </x:c>
      <x:c r="F17" s="43" t="str">
        <x:v>聯想集團</x:v>
      </x:c>
      <x:c r="G17" s="61"/>
      <x:c r="H17" s="46" t="str">
        <x:v>HKD</x:v>
      </x:c>
      <x:c r="I17" s="61"/>
      <x:c r="J17" s="67"/>
      <x:c r="K17" s="55" t="n">
        <x:v>46203</x:v>
      </x:c>
      <x:c r="L17" s="73" t="n">
        <x:v>46171</x:v>
      </x:c>
      <x:c r="M17" s="131" t="n">
        <x:v>-4.09801436417406</x:v>
      </x:c>
      <x:c r="N17" s="76"/>
      <x:c r="O17" s="73" t="n">
        <x:v>46112</x:v>
      </x:c>
      <x:c r="P17" s="131" t="n">
        <x:v>151.6629711751663</x:v>
      </x:c>
      <x:c r="Q17" s="76"/>
      <x:c r="R17" s="73" t="n">
        <x:v>46022</x:v>
      </x:c>
      <x:c r="S17" s="131" t="n">
        <x:v>148.63088718510403</x:v>
      </x:c>
      <x:c r="T17" s="76"/>
      <x:c r="U17" s="73" t="n">
        <x:v>46022</x:v>
      </x:c>
      <x:c r="V17" s="131" t="n">
        <x:v>148.63088718510403</x:v>
      </x:c>
      <x:c r="W17" s="76"/>
      <x:c r="X17" s="46" t="str">
        <x:f>$B$5</x:f>
        <x:v>Hang Seng Indexes Company Limited</x:v>
      </x:c>
      <x:c r="Y17" s="46" t="str">
        <x:f>$E$5</x:f>
        <x:v>Financial Modeling Prep dividend-adjusted EOD</x:v>
      </x:c>
    </x:row>
    <x:row r="18" ht="23" customHeight="1">
      <x:c r="A18" s="40" t="str">
        <x:f>$E$4</x:f>
        <x:v>HSTECH</x:v>
      </x:c>
      <x:c r="B18" s="49" t="n">
        <x:f>$B$4</x:f>
        <x:v>46203</x:v>
      </x:c>
      <x:c r="C18" s="40" t="str">
        <x:v>1024</x:v>
      </x:c>
      <x:c r="D18" s="40" t="str">
        <x:v>1024.HK</x:v>
      </x:c>
      <x:c r="E18" s="43" t="str">
        <x:v>KUAISHOU - W</x:v>
      </x:c>
      <x:c r="F18" s="43" t="str">
        <x:v>快手 - W</x:v>
      </x:c>
      <x:c r="G18" s="61"/>
      <x:c r="H18" s="46" t="str">
        <x:v>HKD</x:v>
      </x:c>
      <x:c r="I18" s="61"/>
      <x:c r="J18" s="67"/>
      <x:c r="K18" s="55" t="n">
        <x:v>46203</x:v>
      </x:c>
      <x:c r="L18" s="73" t="n">
        <x:v>46171</x:v>
      </x:c>
      <x:c r="M18" s="131" t="n">
        <x:v>-8.65173473869126</x:v>
      </x:c>
      <x:c r="N18" s="76"/>
      <x:c r="O18" s="73" t="n">
        <x:v>46112</x:v>
      </x:c>
      <x:c r="P18" s="131" t="n">
        <x:v>-7.801418439716312</x:v>
      </x:c>
      <x:c r="Q18" s="76"/>
      <x:c r="R18" s="73" t="n">
        <x:v>46022</x:v>
      </x:c>
      <x:c r="S18" s="131" t="n">
        <x:v>-34.94917904612979</x:v>
      </x:c>
      <x:c r="T18" s="76"/>
      <x:c r="U18" s="73" t="n">
        <x:v>46022</x:v>
      </x:c>
      <x:c r="V18" s="131" t="n">
        <x:v>-34.94917904612979</x:v>
      </x:c>
      <x:c r="W18" s="76"/>
      <x:c r="X18" s="46" t="str">
        <x:f>$B$5</x:f>
        <x:v>Hang Seng Indexes Company Limited</x:v>
      </x:c>
      <x:c r="Y18" s="46" t="str">
        <x:f>$E$5</x:f>
        <x:v>Financial Modeling Prep dividend-adjusted EOD</x:v>
      </x:c>
    </x:row>
    <x:row r="19" ht="23" customHeight="1">
      <x:c r="A19" s="40" t="str">
        <x:f>$E$4</x:f>
        <x:v>HSTECH</x:v>
      </x:c>
      <x:c r="B19" s="49" t="n">
        <x:f>$B$4</x:f>
        <x:v>46203</x:v>
      </x:c>
      <x:c r="C19" s="40" t="str">
        <x:v>9961</x:v>
      </x:c>
      <x:c r="D19" s="40" t="str">
        <x:v>9961.HK</x:v>
      </x:c>
      <x:c r="E19" s="43" t="str">
        <x:v>TRIP.COM - S</x:v>
      </x:c>
      <x:c r="F19" s="43" t="str">
        <x:v>攜程集團 - S</x:v>
      </x:c>
      <x:c r="G19" s="61"/>
      <x:c r="H19" s="46" t="str">
        <x:v>HKD</x:v>
      </x:c>
      <x:c r="I19" s="61"/>
      <x:c r="J19" s="67"/>
      <x:c r="K19" s="55" t="n">
        <x:v>46203</x:v>
      </x:c>
      <x:c r="L19" s="73" t="n">
        <x:v>46171</x:v>
      </x:c>
      <x:c r="M19" s="131" t="n">
        <x:v>-15.509761388286334</x:v>
      </x:c>
      <x:c r="N19" s="76"/>
      <x:c r="O19" s="73" t="n">
        <x:v>46112</x:v>
      </x:c>
      <x:c r="P19" s="131" t="n">
        <x:v>-18.172268907563023</x:v>
      </x:c>
      <x:c r="Q19" s="76"/>
      <x:c r="R19" s="73" t="n">
        <x:v>46022</x:v>
      </x:c>
      <x:c r="S19" s="131" t="n">
        <x:v>-43.75451263537906</x:v>
      </x:c>
      <x:c r="T19" s="76"/>
      <x:c r="U19" s="73" t="n">
        <x:v>46022</x:v>
      </x:c>
      <x:c r="V19" s="131" t="n">
        <x:v>-43.75451263537906</x:v>
      </x:c>
      <x:c r="W19" s="76"/>
      <x:c r="X19" s="46" t="str">
        <x:f>$B$5</x:f>
        <x:v>Hang Seng Indexes Company Limited</x:v>
      </x:c>
      <x:c r="Y19" s="46" t="str">
        <x:f>$E$5</x:f>
        <x:v>Financial Modeling Prep dividend-adjusted EOD</x:v>
      </x:c>
    </x:row>
    <x:row r="20" ht="23" customHeight="1">
      <x:c r="A20" s="40" t="str">
        <x:f>$E$4</x:f>
        <x:v>HSTECH</x:v>
      </x:c>
      <x:c r="B20" s="49" t="n">
        <x:f>$B$4</x:f>
        <x:v>46203</x:v>
      </x:c>
      <x:c r="C20" s="40" t="str">
        <x:v>9868</x:v>
      </x:c>
      <x:c r="D20" s="40" t="str">
        <x:v>9868.HK</x:v>
      </x:c>
      <x:c r="E20" s="43" t="str">
        <x:v>XPENG - W</x:v>
      </x:c>
      <x:c r="F20" s="43" t="str">
        <x:v>小鵬集團 - W</x:v>
      </x:c>
      <x:c r="G20" s="61"/>
      <x:c r="H20" s="46" t="str">
        <x:v>HKD</x:v>
      </x:c>
      <x:c r="I20" s="61"/>
      <x:c r="J20" s="67"/>
      <x:c r="K20" s="55" t="n">
        <x:v>46203</x:v>
      </x:c>
      <x:c r="L20" s="73" t="n">
        <x:v>46171</x:v>
      </x:c>
      <x:c r="M20" s="131" t="n">
        <x:v>-20.6734534064213</x:v>
      </x:c>
      <x:c r="N20" s="76"/>
      <x:c r="O20" s="73" t="n">
        <x:v>46112</x:v>
      </x:c>
      <x:c r="P20" s="131" t="n">
        <x:v>-22.61268143621085</x:v>
      </x:c>
      <x:c r="Q20" s="76"/>
      <x:c r="R20" s="73" t="n">
        <x:v>46022</x:v>
      </x:c>
      <x:c r="S20" s="131" t="n">
        <x:v>-36.16887208569628</x:v>
      </x:c>
      <x:c r="T20" s="76"/>
      <x:c r="U20" s="73" t="n">
        <x:v>46022</x:v>
      </x:c>
      <x:c r="V20" s="131" t="n">
        <x:v>-36.16887208569628</x:v>
      </x:c>
      <x:c r="W20" s="76"/>
      <x:c r="X20" s="46" t="str">
        <x:f>$B$5</x:f>
        <x:v>Hang Seng Indexes Company Limited</x:v>
      </x:c>
      <x:c r="Y20" s="46" t="str">
        <x:f>$E$5</x:f>
        <x:v>Financial Modeling Prep dividend-adjusted EOD</x:v>
      </x:c>
    </x:row>
    <x:row r="21" ht="23" customHeight="1">
      <x:c r="A21" s="40" t="str">
        <x:f>$E$4</x:f>
        <x:v>HSTECH</x:v>
      </x:c>
      <x:c r="B21" s="49" t="n">
        <x:f>$B$4</x:f>
        <x:v>46203</x:v>
      </x:c>
      <x:c r="C21" s="40" t="str">
        <x:v>2015</x:v>
      </x:c>
      <x:c r="D21" s="40" t="str">
        <x:v>2015.HK</x:v>
      </x:c>
      <x:c r="E21" s="43" t="str">
        <x:v>LI AUTO - W</x:v>
      </x:c>
      <x:c r="F21" s="43" t="str">
        <x:v>理想汽車 - W</x:v>
      </x:c>
      <x:c r="G21" s="61"/>
      <x:c r="H21" s="46" t="str">
        <x:v>HKD</x:v>
      </x:c>
      <x:c r="I21" s="61"/>
      <x:c r="J21" s="67"/>
      <x:c r="K21" s="55" t="n">
        <x:v>46203</x:v>
      </x:c>
      <x:c r="L21" s="73" t="n">
        <x:v>46171</x:v>
      </x:c>
      <x:c r="M21" s="131" t="n">
        <x:v>-20.3457216940363</x:v>
      </x:c>
      <x:c r="N21" s="76"/>
      <x:c r="O21" s="73" t="n">
        <x:v>46112</x:v>
      </x:c>
      <x:c r="P21" s="131" t="n">
        <x:v>-31.935007385524372</x:v>
      </x:c>
      <x:c r="Q21" s="76"/>
      <x:c r="R21" s="73" t="n">
        <x:v>46022</x:v>
      </x:c>
      <x:c r="S21" s="131" t="n">
        <x:v>-28.943716268311487</x:v>
      </x:c>
      <x:c r="T21" s="76"/>
      <x:c r="U21" s="73" t="n">
        <x:v>46022</x:v>
      </x:c>
      <x:c r="V21" s="131" t="n">
        <x:v>-28.943716268311487</x:v>
      </x:c>
      <x:c r="W21" s="76"/>
      <x:c r="X21" s="46" t="str">
        <x:f>$B$5</x:f>
        <x:v>Hang Seng Indexes Company Limited</x:v>
      </x:c>
      <x:c r="Y21" s="46" t="str">
        <x:f>$E$5</x:f>
        <x:v>Financial Modeling Prep dividend-adjusted EOD</x:v>
      </x:c>
    </x:row>
    <x:row r="22" ht="23" customHeight="1">
      <x:c r="A22" s="40" t="str">
        <x:f>$E$4</x:f>
        <x:v>HSTECH</x:v>
      </x:c>
      <x:c r="B22" s="49" t="n">
        <x:f>$B$4</x:f>
        <x:v>46203</x:v>
      </x:c>
      <x:c r="C22" s="40" t="str">
        <x:v>300</x:v>
      </x:c>
      <x:c r="D22" s="40" t="str">
        <x:v>0300.HK</x:v>
      </x:c>
      <x:c r="E22" s="43" t="str">
        <x:v>MIDEA GROUP</x:v>
      </x:c>
      <x:c r="F22" s="43" t="str">
        <x:v>美的集團</x:v>
      </x:c>
      <x:c r="G22" s="61"/>
      <x:c r="H22" s="46" t="str">
        <x:v>HKD</x:v>
      </x:c>
      <x:c r="I22" s="61"/>
      <x:c r="J22" s="67"/>
      <x:c r="K22" s="55" t="n">
        <x:v>46203</x:v>
      </x:c>
      <x:c r="L22" s="73" t="n">
        <x:v>46171</x:v>
      </x:c>
      <x:c r="M22" s="131" t="n">
        <x:v>1.2875536480686696</x:v>
      </x:c>
      <x:c r="N22" s="76"/>
      <x:c r="O22" s="73" t="n">
        <x:v>46112</x:v>
      </x:c>
      <x:c r="P22" s="131" t="n">
        <x:v>3.586656634060698</x:v>
      </x:c>
      <x:c r="Q22" s="76"/>
      <x:c r="R22" s="73" t="n">
        <x:v>46022</x:v>
      </x:c>
      <x:c r="S22" s="131" t="n">
        <x:v>2.18978102189781</x:v>
      </x:c>
      <x:c r="T22" s="76"/>
      <x:c r="U22" s="73" t="n">
        <x:v>46022</x:v>
      </x:c>
      <x:c r="V22" s="131" t="n">
        <x:v>2.18978102189781</x:v>
      </x:c>
      <x:c r="W22" s="76"/>
      <x:c r="X22" s="46" t="str">
        <x:f>$B$5</x:f>
        <x:v>Hang Seng Indexes Company Limited</x:v>
      </x:c>
      <x:c r="Y22" s="46" t="str">
        <x:f>$E$5</x:f>
        <x:v>Financial Modeling Prep dividend-adjusted EOD</x:v>
      </x:c>
    </x:row>
    <x:row r="23" ht="23" customHeight="1">
      <x:c r="A23" s="40" t="str">
        <x:f>$E$4</x:f>
        <x:v>HSTECH</x:v>
      </x:c>
      <x:c r="B23" s="49" t="n">
        <x:f>$B$4</x:f>
        <x:v>46203</x:v>
      </x:c>
      <x:c r="C23" s="40" t="str">
        <x:v>6690</x:v>
      </x:c>
      <x:c r="D23" s="40" t="str">
        <x:v>6690.HK</x:v>
      </x:c>
      <x:c r="E23" s="43" t="str">
        <x:v>HAIER SMARTHOME</x:v>
      </x:c>
      <x:c r="F23" s="43" t="str">
        <x:v>海爾智家</x:v>
      </x:c>
      <x:c r="G23" s="61"/>
      <x:c r="H23" s="46" t="str">
        <x:v>HKD</x:v>
      </x:c>
      <x:c r="I23" s="61"/>
      <x:c r="J23" s="67"/>
      <x:c r="K23" s="55" t="n">
        <x:v>46203</x:v>
      </x:c>
      <x:c r="L23" s="73" t="n">
        <x:v>46171</x:v>
      </x:c>
      <x:c r="M23" s="131" t="n">
        <x:v>1.4213197969543148</x:v>
      </x:c>
      <x:c r="N23" s="76"/>
      <x:c r="O23" s="73" t="n">
        <x:v>46112</x:v>
      </x:c>
      <x:c r="P23" s="131" t="n">
        <x:v>-3.571428571428571</x:v>
      </x:c>
      <x:c r="Q23" s="76"/>
      <x:c r="R23" s="73" t="n">
        <x:v>46022</x:v>
      </x:c>
      <x:c r="S23" s="131" t="n">
        <x:v>-17.71004942339374</x:v>
      </x:c>
      <x:c r="T23" s="76"/>
      <x:c r="U23" s="73" t="n">
        <x:v>46022</x:v>
      </x:c>
      <x:c r="V23" s="131" t="n">
        <x:v>-17.71004942339374</x:v>
      </x:c>
      <x:c r="W23" s="76"/>
      <x:c r="X23" s="46" t="str">
        <x:f>$B$5</x:f>
        <x:v>Hang Seng Indexes Company Limited</x:v>
      </x:c>
      <x:c r="Y23" s="46" t="str">
        <x:f>$E$5</x:f>
        <x:v>Financial Modeling Prep dividend-adjusted EOD</x:v>
      </x:c>
    </x:row>
    <x:row r="24" ht="23" customHeight="1">
      <x:c r="A24" s="40" t="str">
        <x:f>$E$4</x:f>
        <x:v>HSTECH</x:v>
      </x:c>
      <x:c r="B24" s="49" t="n">
        <x:f>$B$4</x:f>
        <x:v>46203</x:v>
      </x:c>
      <x:c r="C24" s="40" t="str">
        <x:v>9660</x:v>
      </x:c>
      <x:c r="D24" s="40" t="str">
        <x:v>9660.HK</x:v>
      </x:c>
      <x:c r="E24" s="43" t="str">
        <x:v>HORIZONROBOT - W</x:v>
      </x:c>
      <x:c r="F24" s="43" t="str">
        <x:v>地平線機器人 - W</x:v>
      </x:c>
      <x:c r="G24" s="61"/>
      <x:c r="H24" s="46" t="str">
        <x:v>HKD</x:v>
      </x:c>
      <x:c r="I24" s="61"/>
      <x:c r="J24" s="67"/>
      <x:c r="K24" s="55" t="n">
        <x:v>46203</x:v>
      </x:c>
      <x:c r="L24" s="73" t="n">
        <x:v>46171</x:v>
      </x:c>
      <x:c r="M24" s="131" t="n">
        <x:v>-22.873345935727787</x:v>
      </x:c>
      <x:c r="N24" s="76"/>
      <x:c r="O24" s="73" t="n">
        <x:v>46112</x:v>
      </x:c>
      <x:c r="P24" s="131" t="n">
        <x:v>-38.368580060422964</x:v>
      </x:c>
      <x:c r="Q24" s="76"/>
      <x:c r="R24" s="73" t="n">
        <x:v>46022</x:v>
      </x:c>
      <x:c r="S24" s="131" t="n">
        <x:v>-52.88683602771363</x:v>
      </x:c>
      <x:c r="T24" s="76"/>
      <x:c r="U24" s="73" t="n">
        <x:v>46022</x:v>
      </x:c>
      <x:c r="V24" s="131" t="n">
        <x:v>-52.88683602771363</x:v>
      </x:c>
      <x:c r="W24" s="76"/>
      <x:c r="X24" s="46" t="str">
        <x:f>$B$5</x:f>
        <x:v>Hang Seng Indexes Company Limited</x:v>
      </x:c>
      <x:c r="Y24" s="46" t="str">
        <x:f>$E$5</x:f>
        <x:v>Financial Modeling Prep dividend-adjusted EOD</x:v>
      </x:c>
    </x:row>
    <x:row r="25" ht="23" customHeight="1">
      <x:c r="A25" s="40" t="str">
        <x:f>$E$4</x:f>
        <x:v>HSTECH</x:v>
      </x:c>
      <x:c r="B25" s="49" t="n">
        <x:f>$B$4</x:f>
        <x:v>46203</x:v>
      </x:c>
      <x:c r="C25" s="40" t="str">
        <x:v>20</x:v>
      </x:c>
      <x:c r="D25" s="40" t="str">
        <x:v>0020.HK</x:v>
      </x:c>
      <x:c r="E25" s="43" t="str">
        <x:v>SENSETIME - W</x:v>
      </x:c>
      <x:c r="F25" s="43" t="str">
        <x:v>商湯 - W</x:v>
      </x:c>
      <x:c r="G25" s="61"/>
      <x:c r="H25" s="46" t="str">
        <x:v>HKD</x:v>
      </x:c>
      <x:c r="I25" s="61"/>
      <x:c r="J25" s="67"/>
      <x:c r="K25" s="55" t="n">
        <x:v>46203</x:v>
      </x:c>
      <x:c r="L25" s="73" t="n">
        <x:v>46171</x:v>
      </x:c>
      <x:c r="M25" s="131" t="n">
        <x:v>-19.27710843373494</x:v>
      </x:c>
      <x:c r="N25" s="76"/>
      <x:c r="O25" s="73" t="n">
        <x:v>46112</x:v>
      </x:c>
      <x:c r="P25" s="131" t="n">
        <x:v>-27.173913043478258</x:v>
      </x:c>
      <x:c r="Q25" s="76"/>
      <x:c r="R25" s="73" t="n">
        <x:v>46022</x:v>
      </x:c>
      <x:c r="S25" s="131" t="n">
        <x:v>-39.09090909090909</x:v>
      </x:c>
      <x:c r="T25" s="76"/>
      <x:c r="U25" s="73" t="n">
        <x:v>46022</x:v>
      </x:c>
      <x:c r="V25" s="131" t="n">
        <x:v>-39.09090909090909</x:v>
      </x:c>
      <x:c r="W25" s="76"/>
      <x:c r="X25" s="46" t="str">
        <x:f>$B$5</x:f>
        <x:v>Hang Seng Indexes Company Limited</x:v>
      </x:c>
      <x:c r="Y25" s="46" t="str">
        <x:f>$E$5</x:f>
        <x:v>Financial Modeling Prep dividend-adjusted EOD</x:v>
      </x:c>
    </x:row>
    <x:row r="26" ht="23" customHeight="1">
      <x:c r="A26" s="40" t="str">
        <x:f>$E$4</x:f>
        <x:v>HSTECH</x:v>
      </x:c>
      <x:c r="B26" s="49" t="n">
        <x:f>$B$4</x:f>
        <x:v>46203</x:v>
      </x:c>
      <x:c r="C26" s="40" t="str">
        <x:v>2382</x:v>
      </x:c>
      <x:c r="D26" s="40" t="str">
        <x:v>2382.HK</x:v>
      </x:c>
      <x:c r="E26" s="43" t="str">
        <x:v>SUNNY OPTICAL</x:v>
      </x:c>
      <x:c r="F26" s="43" t="str">
        <x:v>舜宇光學科技</x:v>
      </x:c>
      <x:c r="G26" s="61"/>
      <x:c r="H26" s="46" t="str">
        <x:v>HKD</x:v>
      </x:c>
      <x:c r="I26" s="61"/>
      <x:c r="J26" s="67"/>
      <x:c r="K26" s="55" t="n">
        <x:v>46203</x:v>
      </x:c>
      <x:c r="L26" s="73" t="n">
        <x:v>46171</x:v>
      </x:c>
      <x:c r="M26" s="131" t="n">
        <x:v>-26.12328933026523</x:v>
      </x:c>
      <x:c r="N26" s="76"/>
      <x:c r="O26" s="73" t="n">
        <x:v>46112</x:v>
      </x:c>
      <x:c r="P26" s="131" t="n">
        <x:v>15.793470007593013</x:v>
      </x:c>
      <x:c r="Q26" s="76"/>
      <x:c r="R26" s="73" t="n">
        <x:v>46022</x:v>
      </x:c>
      <x:c r="S26" s="131" t="n">
        <x:v>-5.572755417956656</x:v>
      </x:c>
      <x:c r="T26" s="76"/>
      <x:c r="U26" s="73" t="n">
        <x:v>46022</x:v>
      </x:c>
      <x:c r="V26" s="131" t="n">
        <x:v>-5.572755417956656</x:v>
      </x:c>
      <x:c r="W26" s="76"/>
      <x:c r="X26" s="46" t="str">
        <x:f>$B$5</x:f>
        <x:v>Hang Seng Indexes Company Limited</x:v>
      </x:c>
      <x:c r="Y26" s="46" t="str">
        <x:f>$E$5</x:f>
        <x:v>Financial Modeling Prep dividend-adjusted EOD</x:v>
      </x:c>
    </x:row>
    <x:row r="27" ht="23" customHeight="1">
      <x:c r="A27" s="40" t="str">
        <x:f>$E$4</x:f>
        <x:v>HSTECH</x:v>
      </x:c>
      <x:c r="B27" s="49" t="n">
        <x:f>$B$4</x:f>
        <x:v>46203</x:v>
      </x:c>
      <x:c r="C27" s="40" t="str">
        <x:v>9626</x:v>
      </x:c>
      <x:c r="D27" s="40" t="str">
        <x:v>9626.HK</x:v>
      </x:c>
      <x:c r="E27" s="43" t="str">
        <x:v>BILIBILI - W</x:v>
      </x:c>
      <x:c r="F27" s="43" t="str">
        <x:v>嗶哩嗶哩 - W</x:v>
      </x:c>
      <x:c r="G27" s="61"/>
      <x:c r="H27" s="46" t="str">
        <x:v>HKD</x:v>
      </x:c>
      <x:c r="I27" s="61"/>
      <x:c r="J27" s="67"/>
      <x:c r="K27" s="55" t="n">
        <x:v>46203</x:v>
      </x:c>
      <x:c r="L27" s="73" t="n">
        <x:v>46171</x:v>
      </x:c>
      <x:c r="M27" s="131" t="n">
        <x:v>-3.374908290535583</x:v>
      </x:c>
      <x:c r="N27" s="76"/>
      <x:c r="O27" s="73" t="n">
        <x:v>46112</x:v>
      </x:c>
      <x:c r="P27" s="131" t="n">
        <x:v>-22.847100175746924</x:v>
      </x:c>
      <x:c r="Q27" s="76"/>
      <x:c r="R27" s="73" t="n">
        <x:v>46022</x:v>
      </x:c>
      <x:c r="S27" s="131" t="n">
        <x:v>-31.726283048211506</x:v>
      </x:c>
      <x:c r="T27" s="76"/>
      <x:c r="U27" s="73" t="n">
        <x:v>46022</x:v>
      </x:c>
      <x:c r="V27" s="131" t="n">
        <x:v>-31.726283048211506</x:v>
      </x:c>
      <x:c r="W27" s="76"/>
      <x:c r="X27" s="46" t="str">
        <x:f>$B$5</x:f>
        <x:v>Hang Seng Indexes Company Limited</x:v>
      </x:c>
      <x:c r="Y27" s="46" t="str">
        <x:f>$E$5</x:f>
        <x:v>Financial Modeling Prep dividend-adjusted EOD</x:v>
      </x:c>
    </x:row>
    <x:row r="28" ht="23" customHeight="1">
      <x:c r="A28" s="40" t="str">
        <x:f>$E$4</x:f>
        <x:v>HSTECH</x:v>
      </x:c>
      <x:c r="B28" s="49" t="n">
        <x:f>$B$4</x:f>
        <x:v>46203</x:v>
      </x:c>
      <x:c r="C28" s="40" t="str">
        <x:v>2513</x:v>
      </x:c>
      <x:c r="D28" s="40" t="str">
        <x:v>2513.HK</x:v>
      </x:c>
      <x:c r="E28" s="43" t="str">
        <x:v>KNOWLEDGE ATLAS</x:v>
      </x:c>
      <x:c r="F28" s="43" t="str">
        <x:v>智譜</x:v>
      </x:c>
      <x:c r="G28" s="61"/>
      <x:c r="H28" s="46" t="str">
        <x:v>HKD</x:v>
      </x:c>
      <x:c r="I28" s="61"/>
      <x:c r="J28" s="67"/>
      <x:c r="K28" s="55" t="n">
        <x:v>46203</x:v>
      </x:c>
      <x:c r="L28" s="73" t="n">
        <x:v>46171</x:v>
      </x:c>
      <x:c r="M28" s="131" t="n">
        <x:v>31.912225705329156</x:v>
      </x:c>
      <x:c r="N28" s="76"/>
      <x:c r="O28" s="73" t="n">
        <x:v>46112</x:v>
      </x:c>
      <x:c r="P28" s="131" t="n">
        <x:v>203.38860850757027</x:v>
      </x:c>
      <x:c r="Q28" s="76"/>
      <x:c r="R28" s="73" t="n">
        <x:v>46022</x:v>
      </x:c>
      <x:c r="S28" s="131"/>
      <x:c r="T28" s="76" t="str">
        <x:v>INSUFFICIENT_HISTORY</x:v>
      </x:c>
      <x:c r="U28" s="73" t="n">
        <x:v>46022</x:v>
      </x:c>
      <x:c r="V28" s="131"/>
      <x:c r="W28" s="76" t="str">
        <x:v>INSUFFICIENT_HISTORY</x:v>
      </x:c>
      <x:c r="X28" s="46" t="str">
        <x:f>$B$5</x:f>
        <x:v>Hang Seng Indexes Company Limited</x:v>
      </x:c>
      <x:c r="Y28" s="46" t="str">
        <x:f>$E$5</x:f>
        <x:v>Financial Modeling Prep dividend-adjusted EOD</x:v>
      </x:c>
    </x:row>
    <x:row r="29" ht="23" customHeight="1">
      <x:c r="A29" s="40" t="str">
        <x:f>$E$4</x:f>
        <x:v>HSTECH</x:v>
      </x:c>
      <x:c r="B29" s="49" t="n">
        <x:f>$B$4</x:f>
        <x:v>46203</x:v>
      </x:c>
      <x:c r="C29" s="40" t="str">
        <x:v>6618</x:v>
      </x:c>
      <x:c r="D29" s="40" t="str">
        <x:v>6618.HK</x:v>
      </x:c>
      <x:c r="E29" s="43" t="str">
        <x:v>JD HEALTH</x:v>
      </x:c>
      <x:c r="F29" s="43" t="str">
        <x:v>京東健康</x:v>
      </x:c>
      <x:c r="G29" s="61"/>
      <x:c r="H29" s="46" t="str">
        <x:v>HKD</x:v>
      </x:c>
      <x:c r="I29" s="61"/>
      <x:c r="J29" s="67"/>
      <x:c r="K29" s="55" t="n">
        <x:v>46203</x:v>
      </x:c>
      <x:c r="L29" s="73" t="n">
        <x:v>46171</x:v>
      </x:c>
      <x:c r="M29" s="131" t="n">
        <x:v>-14.479166666666668</x:v>
      </x:c>
      <x:c r="N29" s="76"/>
      <x:c r="O29" s="73" t="n">
        <x:v>46112</x:v>
      </x:c>
      <x:c r="P29" s="131" t="n">
        <x:v>-30.216744581385463</x:v>
      </x:c>
      <x:c r="Q29" s="76"/>
      <x:c r="R29" s="73" t="n">
        <x:v>46022</x:v>
      </x:c>
      <x:c r="S29" s="131" t="n">
        <x:v>-40.828828828828826</x:v>
      </x:c>
      <x:c r="T29" s="76"/>
      <x:c r="U29" s="73" t="n">
        <x:v>46022</x:v>
      </x:c>
      <x:c r="V29" s="131" t="n">
        <x:v>-40.828828828828826</x:v>
      </x:c>
      <x:c r="W29" s="76"/>
      <x:c r="X29" s="46" t="str">
        <x:f>$B$5</x:f>
        <x:v>Hang Seng Indexes Company Limited</x:v>
      </x:c>
      <x:c r="Y29" s="46" t="str">
        <x:f>$E$5</x:f>
        <x:v>Financial Modeling Prep dividend-adjusted EOD</x:v>
      </x:c>
    </x:row>
    <x:row r="30" ht="23" customHeight="1">
      <x:c r="A30" s="40" t="str">
        <x:f>$E$4</x:f>
        <x:v>HSTECH</x:v>
      </x:c>
      <x:c r="B30" s="49" t="n">
        <x:f>$B$4</x:f>
        <x:v>46203</x:v>
      </x:c>
      <x:c r="C30" s="40" t="str">
        <x:v>9863</x:v>
      </x:c>
      <x:c r="D30" s="40" t="str">
        <x:v>9863.HK</x:v>
      </x:c>
      <x:c r="E30" s="43" t="str">
        <x:v>LEAPMOTOR</x:v>
      </x:c>
      <x:c r="F30" s="43" t="str">
        <x:v>零跑汽車</x:v>
      </x:c>
      <x:c r="G30" s="61"/>
      <x:c r="H30" s="46" t="str">
        <x:v>HKD</x:v>
      </x:c>
      <x:c r="I30" s="61"/>
      <x:c r="J30" s="67"/>
      <x:c r="K30" s="55" t="n">
        <x:v>46203</x:v>
      </x:c>
      <x:c r="L30" s="73" t="n">
        <x:v>46171</x:v>
      </x:c>
      <x:c r="M30" s="131" t="n">
        <x:v>-12.264631043256998</x:v>
      </x:c>
      <x:c r="N30" s="76"/>
      <x:c r="O30" s="73" t="n">
        <x:v>46112</x:v>
      </x:c>
      <x:c r="P30" s="131" t="n">
        <x:v>-26.66950233943003</x:v>
      </x:c>
      <x:c r="Q30" s="76"/>
      <x:c r="R30" s="73" t="n">
        <x:v>46022</x:v>
      </x:c>
      <x:c r="S30" s="131" t="n">
        <x:v>-29.082682023858496</x:v>
      </x:c>
      <x:c r="T30" s="76"/>
      <x:c r="U30" s="73" t="n">
        <x:v>46022</x:v>
      </x:c>
      <x:c r="V30" s="131" t="n">
        <x:v>-29.082682023858496</x:v>
      </x:c>
      <x:c r="W30" s="76"/>
      <x:c r="X30" s="46" t="str">
        <x:f>$B$5</x:f>
        <x:v>Hang Seng Indexes Company Limited</x:v>
      </x:c>
      <x:c r="Y30" s="46" t="str">
        <x:f>$E$5</x:f>
        <x:v>Financial Modeling Prep dividend-adjusted EOD</x:v>
      </x:c>
    </x:row>
    <x:row r="31" ht="23" customHeight="1">
      <x:c r="A31" s="40" t="str">
        <x:f>$E$4</x:f>
        <x:v>HSTECH</x:v>
      </x:c>
      <x:c r="B31" s="49" t="n">
        <x:f>$B$4</x:f>
        <x:v>46203</x:v>
      </x:c>
      <x:c r="C31" s="40" t="str">
        <x:v>9866</x:v>
      </x:c>
      <x:c r="D31" s="40" t="str">
        <x:v>9866.HK</x:v>
      </x:c>
      <x:c r="E31" s="43" t="str">
        <x:v>NIO - SW</x:v>
      </x:c>
      <x:c r="F31" s="43" t="str">
        <x:v>蔚來 - SW</x:v>
      </x:c>
      <x:c r="G31" s="61"/>
      <x:c r="H31" s="46" t="str">
        <x:v>HKD</x:v>
      </x:c>
      <x:c r="I31" s="61"/>
      <x:c r="J31" s="67"/>
      <x:c r="K31" s="55" t="n">
        <x:v>46203</x:v>
      </x:c>
      <x:c r="L31" s="73" t="n">
        <x:v>46171</x:v>
      </x:c>
      <x:c r="M31" s="131" t="n">
        <x:v>-8.847058823529412</x:v>
      </x:c>
      <x:c r="N31" s="76"/>
      <x:c r="O31" s="73" t="n">
        <x:v>46112</x:v>
      </x:c>
      <x:c r="P31" s="131" t="n">
        <x:v>-11.673506611947104</x:v>
      </x:c>
      <x:c r="Q31" s="76"/>
      <x:c r="R31" s="73" t="n">
        <x:v>46022</x:v>
      </x:c>
      <x:c r="S31" s="131" t="n">
        <x:v>-5.419921875</x:v>
      </x:c>
      <x:c r="T31" s="76"/>
      <x:c r="U31" s="73" t="n">
        <x:v>46022</x:v>
      </x:c>
      <x:c r="V31" s="131" t="n">
        <x:v>-5.419921875</x:v>
      </x:c>
      <x:c r="W31" s="76"/>
      <x:c r="X31" s="46" t="str">
        <x:f>$B$5</x:f>
        <x:v>Hang Seng Indexes Company Limited</x:v>
      </x:c>
      <x:c r="Y31" s="46" t="str">
        <x:f>$E$5</x:f>
        <x:v>Financial Modeling Prep dividend-adjusted EOD</x:v>
      </x:c>
    </x:row>
    <x:row r="32" ht="23" customHeight="1">
      <x:c r="A32" s="40" t="str">
        <x:f>$E$4</x:f>
        <x:v>HSTECH</x:v>
      </x:c>
      <x:c r="B32" s="49" t="n">
        <x:f>$B$4</x:f>
        <x:v>46203</x:v>
      </x:c>
      <x:c r="C32" s="40" t="str">
        <x:v>241</x:v>
      </x:c>
      <x:c r="D32" s="40" t="str">
        <x:v>0241.HK</x:v>
      </x:c>
      <x:c r="E32" s="43" t="str">
        <x:v>ALI HEALTH</x:v>
      </x:c>
      <x:c r="F32" s="43" t="str">
        <x:v>阿里健康</x:v>
      </x:c>
      <x:c r="G32" s="61"/>
      <x:c r="H32" s="46" t="str">
        <x:v>HKD</x:v>
      </x:c>
      <x:c r="I32" s="61"/>
      <x:c r="J32" s="67"/>
      <x:c r="K32" s="55" t="n">
        <x:v>46203</x:v>
      </x:c>
      <x:c r="L32" s="73" t="n">
        <x:v>46171</x:v>
      </x:c>
      <x:c r="M32" s="131" t="n">
        <x:v>-15.249266862170089</x:v>
      </x:c>
      <x:c r="N32" s="76"/>
      <x:c r="O32" s="73" t="n">
        <x:v>46112</x:v>
      </x:c>
      <x:c r="P32" s="131" t="n">
        <x:v>-34.01826484018265</x:v>
      </x:c>
      <x:c r="Q32" s="76"/>
      <x:c r="R32" s="73" t="n">
        <x:v>46022</x:v>
      </x:c>
      <x:c r="S32" s="131" t="n">
        <x:v>-39.1578947368421</x:v>
      </x:c>
      <x:c r="T32" s="76"/>
      <x:c r="U32" s="73" t="n">
        <x:v>46022</x:v>
      </x:c>
      <x:c r="V32" s="131" t="n">
        <x:v>-39.1578947368421</x:v>
      </x:c>
      <x:c r="W32" s="76"/>
      <x:c r="X32" s="46" t="str">
        <x:f>$B$5</x:f>
        <x:v>Hang Seng Indexes Company Limited</x:v>
      </x:c>
      <x:c r="Y32" s="46" t="str">
        <x:f>$E$5</x:f>
        <x:v>Financial Modeling Prep dividend-adjusted EOD</x:v>
      </x:c>
    </x:row>
    <x:row r="33" ht="23" customHeight="1">
      <x:c r="A33" s="40" t="str">
        <x:f>$E$4</x:f>
        <x:v>HSTECH</x:v>
      </x:c>
      <x:c r="B33" s="49" t="n">
        <x:f>$B$4</x:f>
        <x:v>46203</x:v>
      </x:c>
      <x:c r="C33" s="40" t="str">
        <x:v>780</x:v>
      </x:c>
      <x:c r="D33" s="40" t="str">
        <x:v>0780.HK</x:v>
      </x:c>
      <x:c r="E33" s="43" t="str">
        <x:v>TONGCHENGTRAVEL</x:v>
      </x:c>
      <x:c r="F33" s="43" t="str">
        <x:v>同程旅行</x:v>
      </x:c>
      <x:c r="G33" s="61"/>
      <x:c r="H33" s="46" t="str">
        <x:v>HKD</x:v>
      </x:c>
      <x:c r="I33" s="61"/>
      <x:c r="J33" s="67"/>
      <x:c r="K33" s="55" t="n">
        <x:v>46203</x:v>
      </x:c>
      <x:c r="L33" s="73" t="n">
        <x:v>46171</x:v>
      </x:c>
      <x:c r="M33" s="131" t="n">
        <x:v>-13.554434030281183</x:v>
      </x:c>
      <x:c r="N33" s="76"/>
      <x:c r="O33" s="73" t="n">
        <x:v>46112</x:v>
      </x:c>
      <x:c r="P33" s="131" t="n">
        <x:v>-31.990924560408395</x:v>
      </x:c>
      <x:c r="Q33" s="76"/>
      <x:c r="R33" s="73" t="n">
        <x:v>46022</x:v>
      </x:c>
      <x:c r="S33" s="131" t="n">
        <x:v>-45.45040946314832</x:v>
      </x:c>
      <x:c r="T33" s="76"/>
      <x:c r="U33" s="73" t="n">
        <x:v>46022</x:v>
      </x:c>
      <x:c r="V33" s="131" t="n">
        <x:v>-45.45040946314832</x:v>
      </x:c>
      <x:c r="W33" s="76"/>
      <x:c r="X33" s="46" t="str">
        <x:f>$B$5</x:f>
        <x:v>Hang Seng Indexes Company Limited</x:v>
      </x:c>
      <x:c r="Y33" s="46" t="str">
        <x:f>$E$5</x:f>
        <x:v>Financial Modeling Prep dividend-adjusted EOD</x:v>
      </x:c>
    </x:row>
    <x:row r="34" ht="23" customHeight="1">
      <x:c r="A34" s="40" t="str">
        <x:f>$E$4</x:f>
        <x:v>HSTECH</x:v>
      </x:c>
      <x:c r="B34" s="49" t="n">
        <x:f>$B$4</x:f>
        <x:v>46203</x:v>
      </x:c>
      <x:c r="C34" s="40" t="str">
        <x:v>285</x:v>
      </x:c>
      <x:c r="D34" s="40" t="str">
        <x:v>0285.HK</x:v>
      </x:c>
      <x:c r="E34" s="43" t="str">
        <x:v>BYD ELECTRONIC</x:v>
      </x:c>
      <x:c r="F34" s="43" t="str">
        <x:v>比亞迪電子</x:v>
      </x:c>
      <x:c r="G34" s="61"/>
      <x:c r="H34" s="46" t="str">
        <x:v>HKD</x:v>
      </x:c>
      <x:c r="I34" s="61"/>
      <x:c r="J34" s="67"/>
      <x:c r="K34" s="55" t="n">
        <x:v>46203</x:v>
      </x:c>
      <x:c r="L34" s="73" t="n">
        <x:v>46171</x:v>
      </x:c>
      <x:c r="M34" s="131" t="n">
        <x:v>-27.812284334023463</x:v>
      </x:c>
      <x:c r="N34" s="76"/>
      <x:c r="O34" s="73" t="n">
        <x:v>46112</x:v>
      </x:c>
      <x:c r="P34" s="131" t="n">
        <x:v>-23.705324580598102</x:v>
      </x:c>
      <x:c r="Q34" s="76"/>
      <x:c r="R34" s="73" t="n">
        <x:v>46022</x:v>
      </x:c>
      <x:c r="S34" s="131" t="n">
        <x:v>-37.38401676144867</x:v>
      </x:c>
      <x:c r="T34" s="76"/>
      <x:c r="U34" s="73" t="n">
        <x:v>46022</x:v>
      </x:c>
      <x:c r="V34" s="131" t="n">
        <x:v>-37.38401676144867</x:v>
      </x:c>
      <x:c r="W34" s="76"/>
      <x:c r="X34" s="46" t="str">
        <x:f>$B$5</x:f>
        <x:v>Hang Seng Indexes Company Limited</x:v>
      </x:c>
      <x:c r="Y34" s="46" t="str">
        <x:f>$E$5</x:f>
        <x:v>Financial Modeling Prep dividend-adjusted EOD</x:v>
      </x:c>
    </x:row>
    <x:row r="35" ht="23" customHeight="1">
      <x:c r="A35" s="40" t="str">
        <x:f>$E$4</x:f>
        <x:v>HSTECH</x:v>
      </x:c>
      <x:c r="B35" s="49" t="n">
        <x:f>$B$4</x:f>
        <x:v>46203</x:v>
      </x:c>
      <x:c r="C35" s="40" t="str">
        <x:v>100</x:v>
      </x:c>
      <x:c r="D35" s="40" t="str">
        <x:v>0100.HK</x:v>
      </x:c>
      <x:c r="E35" s="43" t="str">
        <x:v>MINIMAX - W</x:v>
      </x:c>
      <x:c r="F35" s="43" t="str">
        <x:v>MINIMAX - W</x:v>
      </x:c>
      <x:c r="G35" s="61"/>
      <x:c r="H35" s="46" t="str">
        <x:v>HKD</x:v>
      </x:c>
      <x:c r="I35" s="61"/>
      <x:c r="J35" s="67"/>
      <x:c r="K35" s="55" t="n">
        <x:v>46203</x:v>
      </x:c>
      <x:c r="L35" s="73" t="n">
        <x:v>46171</x:v>
      </x:c>
      <x:c r="M35" s="131" t="n">
        <x:v>-50.357142857142854</x:v>
      </x:c>
      <x:c r="N35" s="76"/>
      <x:c r="O35" s="73" t="n">
        <x:v>46112</x:v>
      </x:c>
      <x:c r="P35" s="131" t="n">
        <x:v>-55.137170521785904</x:v>
      </x:c>
      <x:c r="Q35" s="76"/>
      <x:c r="R35" s="73" t="n">
        <x:v>46022</x:v>
      </x:c>
      <x:c r="S35" s="131"/>
      <x:c r="T35" s="76" t="str">
        <x:v>INSUFFICIENT_HISTORY</x:v>
      </x:c>
      <x:c r="U35" s="73" t="n">
        <x:v>46022</x:v>
      </x:c>
      <x:c r="V35" s="131"/>
      <x:c r="W35" s="76" t="str">
        <x:v>INSUFFICIENT_HISTORY</x:v>
      </x:c>
      <x:c r="X35" s="46" t="str">
        <x:f>$B$5</x:f>
        <x:v>Hang Seng Indexes Company Limited</x:v>
      </x:c>
      <x:c r="Y35" s="46" t="str">
        <x:f>$E$5</x:f>
        <x:v>Financial Modeling Prep dividend-adjusted EOD</x:v>
      </x:c>
    </x:row>
    <x:row r="36" ht="23" customHeight="1">
      <x:c r="A36" s="41" t="str">
        <x:f>$E$4</x:f>
        <x:v>HSTECH</x:v>
      </x:c>
      <x:c r="B36" s="50" t="n">
        <x:f>$B$4</x:f>
        <x:v>46203</x:v>
      </x:c>
      <x:c r="C36" s="41" t="str">
        <x:v>1698</x:v>
      </x:c>
      <x:c r="D36" s="41" t="str">
        <x:v>1698.HK</x:v>
      </x:c>
      <x:c r="E36" s="44" t="str">
        <x:v>TME - SW</x:v>
      </x:c>
      <x:c r="F36" s="44" t="str">
        <x:v>騰訊音樂 - SW</x:v>
      </x:c>
      <x:c r="G36" s="62"/>
      <x:c r="H36" s="47" t="str">
        <x:v>HKD</x:v>
      </x:c>
      <x:c r="I36" s="62"/>
      <x:c r="J36" s="68"/>
      <x:c r="K36" s="56" t="n">
        <x:v>46203</x:v>
      </x:c>
      <x:c r="L36" s="74" t="n">
        <x:v>46171</x:v>
      </x:c>
      <x:c r="M36" s="132" t="n">
        <x:v>-6.960950764006792</x:v>
      </x:c>
      <x:c r="N36" s="77"/>
      <x:c r="O36" s="74" t="n">
        <x:v>46112</x:v>
      </x:c>
      <x:c r="P36" s="132" t="n">
        <x:v>-9.271523178807946</x:v>
      </x:c>
      <x:c r="Q36" s="77"/>
      <x:c r="R36" s="74" t="n">
        <x:v>46022</x:v>
      </x:c>
      <x:c r="S36" s="132" t="n">
        <x:v>-51.11507582515611</x:v>
      </x:c>
      <x:c r="T36" s="77"/>
      <x:c r="U36" s="74" t="n">
        <x:v>46022</x:v>
      </x:c>
      <x:c r="V36" s="132" t="n">
        <x:v>-51.11507582515611</x:v>
      </x:c>
      <x:c r="W36" s="77"/>
      <x:c r="X36" s="47" t="str">
        <x:f>$B$5</x:f>
        <x:v>Hang Seng Indexes Company Limited</x:v>
      </x:c>
      <x:c r="Y36" s="47" t="str">
        <x:f>$E$5</x:f>
        <x:v>Financial Modeling Prep dividend-adjusted EOD</x:v>
      </x:c>
    </x:row>
    <x:row r="38" ht="24" customHeight="1">
      <x:c r="A38" s="78" t="str">
        <x:v>质量检查 / Quality Checks</x:v>
      </x:c>
      <x:c r="B38" s="78"/>
      <x:c r="C38" s="78"/>
      <x:c r="D38" s="78"/>
      <x:c r="E38" s="78"/>
    </x:row>
    <x:row r="39" ht="24" customHeight="1">
      <x:c r="A39" s="83" t="str">
        <x:v>Weight total (%)</x:v>
      </x:c>
      <x:c r="B39" s="86" t="n">
        <x:f>SUM(I7:I36)</x:f>
        <x:v>0</x:v>
      </x:c>
      <x:c r="C39" s="87" t="str">
        <x:f>IF(ABS(B39-100)&lt;=1,"OK","CHECK")</x:f>
        <x:v>CHECK</x:v>
      </x:c>
      <x:c r="D39" s="81" t="str">
        <x:v>目标：权重合计约100%（容差±1个百分点）</x:v>
      </x:c>
      <x:c r="E39" s="81"/>
    </x:row>
    <x:row r="40" ht="24" customHeight="1">
      <x:c r="A40" s="84" t="str">
        <x:v>Numeric return cells</x:v>
      </x:c>
      <x:c r="B40" s="88" t="n">
        <x:f>COUNT(M7:M36)+COUNT(P7:P36)+COUNT(S7:S36)+COUNT(V7:V36)</x:f>
        <x:v>116</x:v>
      </x:c>
      <x:c r="C40" s="88" t="str">
        <x:f>IF(B40&gt;0,"OK","CHECK")</x:f>
        <x:v>OK</x:v>
      </x:c>
      <x:c r="D40" s="82" t="str">
        <x:v>至少应提供一个有效的1M/3M/6M/YTD回报数值</x:v>
      </x:c>
      <x:c r="E40" s="82"/>
    </x:row>
  </x:sheetData>
  <x:mergeCells>
    <x:mergeCell ref="A1:Y1"/>
    <x:mergeCell ref="A2:Y2"/>
    <x:mergeCell ref="B5:C5"/>
    <x:mergeCell ref="E5:F5"/>
    <x:mergeCell ref="H5:I5"/>
    <x:mergeCell ref="K5:Y5"/>
    <x:mergeCell ref="A38:E38"/>
    <x:mergeCell ref="D39:E39"/>
    <x:mergeCell ref="D40:E40"/>
  </x:mergeCells>
  <x:conditionalFormatting sqref="C39:C40">
    <x:cfRule type="containsText" dxfId="0" priority="1" operator="containsText" text="OK"/>
    <x:cfRule type="containsText" dxfId="1" priority="2" operator="containsText" text="CHECK"/>
  </x:conditionalFormatting>
  <x:dataValidations count="6">
    <x:dataValidation type="decimal" operator="between" sqref="G7:G36">
      <x:formula1>0.000001</x:formula1>
      <x:formula2>10000000</x:formula2>
    </x:dataValidation>
    <x:dataValidation type="decimal" operator="between" sqref="I7:I36">
      <x:formula1>0</x:formula1>
      <x:formula2>100</x:formula2>
    </x:dataValidation>
    <x:dataValidation type="decimal" operator="between" sqref="M7:M36">
      <x:formula1>-10000</x:formula1>
      <x:formula2>10000</x:formula2>
    </x:dataValidation>
    <x:dataValidation type="decimal" operator="between" sqref="P7:P36">
      <x:formula1>-10000</x:formula1>
      <x:formula2>10000</x:formula2>
    </x:dataValidation>
    <x:dataValidation type="decimal" operator="between" sqref="S7:S36">
      <x:formula1>-10000</x:formula1>
      <x:formula2>10000</x:formula2>
    </x:dataValidation>
    <x:dataValidation type="decimal" operator="between" sqref="V7:V36">
      <x:formula1>-10000</x:formula1>
      <x:formula2>10000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3649e968e76427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15" hidden="0" customWidth="1"/>
    <x:col min="4" max="4" width="20" hidden="0" customWidth="1"/>
    <x:col min="5" max="5" width="22" hidden="0" customWidth="1"/>
    <x:col min="6" max="6" width="72" hidden="0" customWidth="1"/>
  </x:cols>
  <x:sheetData>
    <x:row r="1" ht="34" customHeight="1">
      <x:c r="A1" s="89" t="str">
        <x:v>HSTECH Monthly Constituent Data — 字段说明</x:v>
      </x:c>
      <x:c r="B1" s="89"/>
      <x:c r="C1" s="89"/>
      <x:c r="D1" s="89"/>
      <x:c r="E1" s="89"/>
      <x:c r="F1" s="89"/>
    </x:row>
    <x:row r="2" ht="36" customHeight="1">
      <x:c r="A2" s="91" t="str">
        <x:v>用途：供数据提供方逐只成份股拉取月末价格、权重以及1M/3M/6M/YTD总回报，并按标准CSV字段回填。</x:v>
      </x:c>
      <x:c r="B2" s="91"/>
      <x:c r="C2" s="91"/>
      <x:c r="D2" s="91"/>
      <x:c r="E2" s="91"/>
      <x:c r="F2" s="91"/>
    </x:row>
    <x:row r="4" ht="32" customHeight="1">
      <x:c r="A4" s="95" t="str">
        <x:v>CSV字段名</x:v>
      </x:c>
      <x:c r="B4" s="95" t="str">
        <x:v>中文含义</x:v>
      </x:c>
      <x:c r="C4" s="95" t="str">
        <x:v>是否必填</x:v>
      </x:c>
      <x:c r="D4" s="95" t="str">
        <x:v>格式/单位</x:v>
      </x:c>
      <x:c r="E4" s="95" t="str">
        <x:v>示例</x:v>
      </x:c>
      <x:c r="F4" s="95" t="str">
        <x:v>拉取及校验说明</x:v>
      </x:c>
    </x:row>
    <x:row r="5" ht="36" customHeight="1">
      <x:c r="A5" s="102" t="str">
        <x:v>index_code</x:v>
      </x:c>
      <x:c r="B5" s="99" t="str">
        <x:v>指数代码</x:v>
      </x:c>
      <x:c r="C5" s="105" t="str">
        <x:v>是</x:v>
      </x:c>
      <x:c r="D5" s="105" t="str">
        <x:v>文本</x:v>
      </x:c>
      <x:c r="E5" s="105" t="str">
        <x:v>HSTECH</x:v>
      </x:c>
      <x:c r="F5" s="99" t="str">
        <x:v>报告对应的成份股指数；整份文件必须一致。</x:v>
      </x:c>
    </x:row>
    <x:row r="6" ht="36" customHeight="1">
      <x:c r="A6" s="103" t="str">
        <x:v>as_of_date</x:v>
      </x:c>
      <x:c r="B6" s="100" t="str">
        <x:v>月度数据截止日</x:v>
      </x:c>
      <x:c r="C6" s="106" t="str">
        <x:v>是</x:v>
      </x:c>
      <x:c r="D6" s="106" t="str">
        <x:v>日期 yyyy-mm-dd</x:v>
      </x:c>
      <x:c r="E6" s="106" t="str">
        <x:v>2026-06-30</x:v>
      </x:c>
      <x:c r="F6" s="100" t="str">
        <x:v>当月月末有效日期，必须属于报告月份且不晚于报告日。</x:v>
      </x:c>
    </x:row>
    <x:row r="7" ht="36" customHeight="1">
      <x:c r="A7" s="103" t="str">
        <x:v>security_code</x:v>
      </x:c>
      <x:c r="B7" s="100" t="str">
        <x:v>股票代码</x:v>
      </x:c>
      <x:c r="C7" s="106" t="str">
        <x:v>是</x:v>
      </x:c>
      <x:c r="D7" s="106" t="str">
        <x:v>文本</x:v>
      </x:c>
      <x:c r="E7" s="106" t="str">
        <x:v>700</x:v>
      </x:c>
      <x:c r="F7" s="100" t="str">
        <x:v>港股本地代码；按文本保存，避免前导零和数字格式问题。</x:v>
      </x:c>
    </x:row>
    <x:row r="8" ht="36" customHeight="1">
      <x:c r="A8" s="103" t="str">
        <x:v>ticker</x:v>
      </x:c>
      <x:c r="B8" s="100" t="str">
        <x:v>证券Ticker</x:v>
      </x:c>
      <x:c r="C8" s="106" t="str">
        <x:v>是</x:v>
      </x:c>
      <x:c r="D8" s="106" t="str">
        <x:v>文本</x:v>
      </x:c>
      <x:c r="E8" s="106" t="str">
        <x:v>0700.HK</x:v>
      </x:c>
      <x:c r="F8" s="100" t="str">
        <x:v>数据源使用的唯一证券标识；如供应商格式不同可在交付前统一。</x:v>
      </x:c>
    </x:row>
    <x:row r="9" ht="36" customHeight="1">
      <x:c r="A9" s="103" t="str">
        <x:v>name_en</x:v>
      </x:c>
      <x:c r="B9" s="100" t="str">
        <x:v>股票英文名</x:v>
      </x:c>
      <x:c r="C9" s="106" t="str">
        <x:v>至少一种名称</x:v>
      </x:c>
      <x:c r="D9" s="106" t="str">
        <x:v>文本</x:v>
      </x:c>
      <x:c r="E9" s="106" t="str">
        <x:v>TENCENT</x:v>
      </x:c>
      <x:c r="F9" s="100" t="str">
        <x:v>报告优先展示的英文名称。</x:v>
      </x:c>
    </x:row>
    <x:row r="10" ht="36" customHeight="1">
      <x:c r="A10" s="103" t="str">
        <x:v>name_zh_hant</x:v>
      </x:c>
      <x:c r="B10" s="100" t="str">
        <x:v>股票繁体中文名</x:v>
      </x:c>
      <x:c r="C10" s="106" t="str">
        <x:v>至少一种名称</x:v>
      </x:c>
      <x:c r="D10" s="106" t="str">
        <x:v>文本</x:v>
      </x:c>
      <x:c r="E10" s="106" t="str">
        <x:v>騰訊控股</x:v>
      </x:c>
      <x:c r="F10" s="100" t="str">
        <x:v>保留数据源原始繁体名称。</x:v>
      </x:c>
    </x:row>
    <x:row r="11" ht="36" customHeight="1">
      <x:c r="A11" s="103" t="str">
        <x:v>close_price</x:v>
      </x:c>
      <x:c r="B11" s="100" t="str">
        <x:v>收市价</x:v>
      </x:c>
      <x:c r="C11" s="106" t="str">
        <x:v>是</x:v>
      </x:c>
      <x:c r="D11" s="106" t="str">
        <x:v>数值 &gt; 0</x:v>
      </x:c>
      <x:c r="E11" s="106" t="str">
        <x:v>429.80</x:v>
      </x:c>
      <x:c r="F11" s="100" t="str">
        <x:v>截至as_of_date的收市价。</x:v>
      </x:c>
    </x:row>
    <x:row r="12" ht="36" customHeight="1">
      <x:c r="A12" s="103" t="str">
        <x:v>currency</x:v>
      </x:c>
      <x:c r="B12" s="100" t="str">
        <x:v>价格币种</x:v>
      </x:c>
      <x:c r="C12" s="106" t="str">
        <x:v>是</x:v>
      </x:c>
      <x:c r="D12" s="106" t="str">
        <x:v>ISO币种</x:v>
      </x:c>
      <x:c r="E12" s="106" t="str">
        <x:v>HKD</x:v>
      </x:c>
      <x:c r="F12" s="100" t="str">
        <x:v>不得根据基金币种推测。</x:v>
      </x:c>
    </x:row>
    <x:row r="13" ht="36" customHeight="1">
      <x:c r="A13" s="103" t="str">
        <x:v>weight_pct</x:v>
      </x:c>
      <x:c r="B13" s="100" t="str">
        <x:v>指数权重（%）</x:v>
      </x:c>
      <x:c r="C13" s="106" t="str">
        <x:v>是</x:v>
      </x:c>
      <x:c r="D13" s="106" t="str">
        <x:v>百分数数值</x:v>
      </x:c>
      <x:c r="E13" s="106" t="str">
        <x:v>8.30</x:v>
      </x:c>
      <x:c r="F13" s="100" t="str">
        <x:v>直接填8.30表示8.30%；全体权重应接近100。</x:v>
      </x:c>
    </x:row>
    <x:row r="14" ht="36" customHeight="1">
      <x:c r="A14" s="103" t="str">
        <x:v>source_industry_code</x:v>
      </x:c>
      <x:c r="B14" s="100" t="str">
        <x:v>HSICS行业代码</x:v>
      </x:c>
      <x:c r="C14" s="106" t="str">
        <x:v>是</x:v>
      </x:c>
      <x:c r="D14" s="106" t="str">
        <x:v>文本</x:v>
      </x:c>
      <x:c r="E14" s="106" t="str">
        <x:v>70</x:v>
      </x:c>
      <x:c r="F14" s="100" t="str">
        <x:v>用于行业分类和后续图表计算。</x:v>
      </x:c>
    </x:row>
    <x:row r="15" ht="36" customHeight="1">
      <x:c r="A15" s="103" t="str">
        <x:v>period_end</x:v>
      </x:c>
      <x:c r="B15" s="100" t="str">
        <x:v>回报截止日</x:v>
      </x:c>
      <x:c r="C15" s="106" t="str">
        <x:v>是</x:v>
      </x:c>
      <x:c r="D15" s="106" t="str">
        <x:v>日期 yyyy-mm-dd</x:v>
      </x:c>
      <x:c r="E15" s="106" t="str">
        <x:v>2026-06-30</x:v>
      </x:c>
      <x:c r="F15" s="100" t="str">
        <x:v>必须与as_of_date一致。</x:v>
      </x:c>
    </x:row>
    <x:row r="16" ht="36" customHeight="1">
      <x:c r="A16" s="103" t="str">
        <x:v>period_start_1m</x:v>
      </x:c>
      <x:c r="B16" s="100" t="str">
        <x:v>1个月回报起始日</x:v>
      </x:c>
      <x:c r="C16" s="106" t="str">
        <x:v>是</x:v>
      </x:c>
      <x:c r="D16" s="106" t="str">
        <x:v>日期 yyyy-mm-dd</x:v>
      </x:c>
      <x:c r="E16" s="106" t="str">
        <x:v>2026-05-29</x:v>
      </x:c>
      <x:c r="F16" s="100" t="str">
        <x:v>填实际采用的交易日起点；所有股票应一致。</x:v>
      </x:c>
    </x:row>
    <x:row r="17" ht="36" customHeight="1">
      <x:c r="A17" s="103" t="str">
        <x:v>return_1m_pct</x:v>
      </x:c>
      <x:c r="B17" s="100" t="str">
        <x:v>1个月总回报（%）</x:v>
      </x:c>
      <x:c r="C17" s="106" t="str">
        <x:v>数值或缺失原因</x:v>
      </x:c>
      <x:c r="D17" s="106" t="str">
        <x:v>百分数数值</x:v>
      </x:c>
      <x:c r="E17" s="106" t="str">
        <x:v>0.61</x:v>
      </x:c>
      <x:c r="F17" s="100" t="str">
        <x:v>Total Return口径；直接填0.61表示0.61%。</x:v>
      </x:c>
    </x:row>
    <x:row r="18" ht="36" customHeight="1">
      <x:c r="A18" s="103" t="str">
        <x:v>return_1m_missing_reason</x:v>
      </x:c>
      <x:c r="B18" s="100" t="str">
        <x:v>1个月回报缺失原因</x:v>
      </x:c>
      <x:c r="C18" s="106" t="str">
        <x:v>条件必填</x:v>
      </x:c>
      <x:c r="D18" s="106" t="str">
        <x:v>文本</x:v>
      </x:c>
      <x:c r="E18" s="106" t="str">
        <x:v>INSUFFICIENT_HISTORY</x:v>
      </x:c>
      <x:c r="F18" s="100" t="str">
        <x:v>回报缺失时必填；有数值时必须留空。</x:v>
      </x:c>
    </x:row>
    <x:row r="19" ht="36" customHeight="1">
      <x:c r="A19" s="103" t="str">
        <x:v>period_start_3m</x:v>
      </x:c>
      <x:c r="B19" s="100" t="str">
        <x:v>3个月回报起始日</x:v>
      </x:c>
      <x:c r="C19" s="106" t="str">
        <x:v>是</x:v>
      </x:c>
      <x:c r="D19" s="106" t="str">
        <x:v>日期 yyyy-mm-dd</x:v>
      </x:c>
      <x:c r="E19" s="106" t="str">
        <x:v>2026-03-31</x:v>
      </x:c>
      <x:c r="F19" s="100" t="str">
        <x:v>填实际采用的交易日起点；所有股票应一致。</x:v>
      </x:c>
    </x:row>
    <x:row r="20" ht="36" customHeight="1">
      <x:c r="A20" s="103" t="str">
        <x:v>return_3m_pct</x:v>
      </x:c>
      <x:c r="B20" s="100" t="str">
        <x:v>3个月总回报（%）</x:v>
      </x:c>
      <x:c r="C20" s="106" t="str">
        <x:v>数值或缺失原因</x:v>
      </x:c>
      <x:c r="D20" s="106" t="str">
        <x:v>百分数数值</x:v>
      </x:c>
      <x:c r="E20" s="106" t="str">
        <x:v>-10.17</x:v>
      </x:c>
      <x:c r="F20" s="100" t="str">
        <x:v>Total Return口径。</x:v>
      </x:c>
    </x:row>
    <x:row r="21" ht="36" customHeight="1">
      <x:c r="A21" s="103" t="str">
        <x:v>return_3m_missing_reason</x:v>
      </x:c>
      <x:c r="B21" s="100" t="str">
        <x:v>3个月回报缺失原因</x:v>
      </x:c>
      <x:c r="C21" s="106" t="str">
        <x:v>条件必填</x:v>
      </x:c>
      <x:c r="D21" s="106" t="str">
        <x:v>文本</x:v>
      </x:c>
      <x:c r="E21" s="106" t="str">
        <x:v>INSUFFICIENT_HISTORY</x:v>
      </x:c>
      <x:c r="F21" s="100" t="str">
        <x:v>回报缺失时必填；不可用0替代缺失值。</x:v>
      </x:c>
    </x:row>
    <x:row r="22" ht="36" customHeight="1">
      <x:c r="A22" s="103" t="str">
        <x:v>period_start_6m</x:v>
      </x:c>
      <x:c r="B22" s="100" t="str">
        <x:v>6个月回报起始日</x:v>
      </x:c>
      <x:c r="C22" s="106" t="str">
        <x:v>是</x:v>
      </x:c>
      <x:c r="D22" s="106" t="str">
        <x:v>日期 yyyy-mm-dd</x:v>
      </x:c>
      <x:c r="E22" s="106" t="str">
        <x:v>2025-12-31</x:v>
      </x:c>
      <x:c r="F22" s="100" t="str">
        <x:v>填实际采用的交易日起点；所有股票应一致。</x:v>
      </x:c>
    </x:row>
    <x:row r="23" ht="36" customHeight="1">
      <x:c r="A23" s="103" t="str">
        <x:v>return_6m_pct</x:v>
      </x:c>
      <x:c r="B23" s="100" t="str">
        <x:v>6个月总回报（%）</x:v>
      </x:c>
      <x:c r="C23" s="106" t="str">
        <x:v>数值或缺失原因</x:v>
      </x:c>
      <x:c r="D23" s="106" t="str">
        <x:v>百分数数值</x:v>
      </x:c>
      <x:c r="E23" s="106" t="str">
        <x:v>-27.41</x:v>
      </x:c>
      <x:c r="F23" s="100" t="str">
        <x:v>Total Return口径。</x:v>
      </x:c>
    </x:row>
    <x:row r="24" ht="36" customHeight="1">
      <x:c r="A24" s="103" t="str">
        <x:v>return_6m_missing_reason</x:v>
      </x:c>
      <x:c r="B24" s="100" t="str">
        <x:v>6个月回报缺失原因</x:v>
      </x:c>
      <x:c r="C24" s="106" t="str">
        <x:v>条件必填</x:v>
      </x:c>
      <x:c r="D24" s="106" t="str">
        <x:v>文本</x:v>
      </x:c>
      <x:c r="E24" s="106" t="str">
        <x:v>INSUFFICIENT_HISTORY</x:v>
      </x:c>
      <x:c r="F24" s="100" t="str">
        <x:v>回报缺失时必填。</x:v>
      </x:c>
    </x:row>
    <x:row r="25" ht="36" customHeight="1">
      <x:c r="A25" s="103" t="str">
        <x:v>period_start_ytd</x:v>
      </x:c>
      <x:c r="B25" s="100" t="str">
        <x:v>YTD回报起始日</x:v>
      </x:c>
      <x:c r="C25" s="106" t="str">
        <x:v>是</x:v>
      </x:c>
      <x:c r="D25" s="106" t="str">
        <x:v>日期 yyyy-mm-dd</x:v>
      </x:c>
      <x:c r="E25" s="106" t="str">
        <x:v>2025-12-31</x:v>
      </x:c>
      <x:c r="F25" s="100" t="str">
        <x:v>通常为上年末有效交易日，以数据源实际口径为准。</x:v>
      </x:c>
    </x:row>
    <x:row r="26" ht="36" customHeight="1">
      <x:c r="A26" s="103" t="str">
        <x:v>return_ytd_pct</x:v>
      </x:c>
      <x:c r="B26" s="100" t="str">
        <x:v>YTD总回报（%）</x:v>
      </x:c>
      <x:c r="C26" s="106" t="str">
        <x:v>数值或缺失原因</x:v>
      </x:c>
      <x:c r="D26" s="106" t="str">
        <x:v>百分数数值</x:v>
      </x:c>
      <x:c r="E26" s="106" t="str">
        <x:v>-27.41</x:v>
      </x:c>
      <x:c r="F26" s="100" t="str">
        <x:v>年初至period_end的Total Return。</x:v>
      </x:c>
    </x:row>
    <x:row r="27" ht="36" customHeight="1">
      <x:c r="A27" s="103" t="str">
        <x:v>return_ytd_missing_reason</x:v>
      </x:c>
      <x:c r="B27" s="100" t="str">
        <x:v>YTD回报缺失原因</x:v>
      </x:c>
      <x:c r="C27" s="106" t="str">
        <x:v>条件必填</x:v>
      </x:c>
      <x:c r="D27" s="106" t="str">
        <x:v>文本</x:v>
      </x:c>
      <x:c r="E27" s="106" t="str">
        <x:v>INSUFFICIENT_HISTORY</x:v>
      </x:c>
      <x:c r="F27" s="100" t="str">
        <x:v>回报缺失时必填。</x:v>
      </x:c>
    </x:row>
    <x:row r="28" ht="36" customHeight="1">
      <x:c r="A28" s="103" t="str">
        <x:v>constituent_source</x:v>
      </x:c>
      <x:c r="B28" s="100" t="str">
        <x:v>成份股数据来源</x:v>
      </x:c>
      <x:c r="C28" s="106" t="str">
        <x:v>是</x:v>
      </x:c>
      <x:c r="D28" s="106" t="str">
        <x:v>文本</x:v>
      </x:c>
      <x:c r="E28" s="106" t="str">
        <x:v>Hang Seng Indexes</x:v>
      </x:c>
      <x:c r="F28" s="100" t="str">
        <x:v>整份文件应使用一个经确认的权威来源。</x:v>
      </x:c>
    </x:row>
    <x:row r="29" ht="36" customHeight="1">
      <x:c r="A29" s="104" t="str">
        <x:v>return_source</x:v>
      </x:c>
      <x:c r="B29" s="101" t="str">
        <x:v>回报数据来源</x:v>
      </x:c>
      <x:c r="C29" s="107" t="str">
        <x:v>是</x:v>
      </x:c>
      <x:c r="D29" s="107" t="str">
        <x:v>文本</x:v>
      </x:c>
      <x:c r="E29" s="107" t="str">
        <x:v>Financial Modeling Prep</x:v>
      </x:c>
      <x:c r="F29" s="101" t="str">
        <x:v>采用 dividend-adjusted EOD 的 adjClose；回报 = 期末 adjClose / 期初 adjClose - 1。</x:v>
      </x:c>
    </x:row>
    <x:row r="32" ht="26" customHeight="1">
      <x:c r="A32" s="78" t="str">
        <x:v>月度交付规则</x:v>
      </x:c>
      <x:c r="B32" s="78"/>
      <x:c r="C32" s="78"/>
      <x:c r="D32" s="78"/>
      <x:c r="E32" s="78"/>
      <x:c r="F32" s="78"/>
    </x:row>
    <x:row r="33" ht="32" customHeight="1">
      <x:c r="A33" s="124" t="n">
        <x:v>1</x:v>
      </x:c>
      <x:c r="B33" s="115" t="str">
        <x:v>每个报告月份交付一份完整数据文件，并按当月月末有效的HSTECH成份股名单重新复核。</x:v>
      </x:c>
      <x:c r="C33" s="115"/>
      <x:c r="D33" s="115"/>
      <x:c r="E33" s="115"/>
      <x:c r="F33" s="115"/>
    </x:row>
    <x:row r="34" ht="32" customHeight="1">
      <x:c r="A34" s="125" t="n">
        <x:v>2</x:v>
      </x:c>
      <x:c r="B34" s="116" t="str">
        <x:v>as_of_date与period_end必须相同，并且属于对应报告月份。</x:v>
      </x:c>
      <x:c r="C34" s="116"/>
      <x:c r="D34" s="116"/>
      <x:c r="E34" s="116"/>
      <x:c r="F34" s="116"/>
    </x:row>
    <x:row r="35" ht="32" customHeight="1">
      <x:c r="A35" s="125" t="n">
        <x:v>3</x:v>
      </x:c>
      <x:c r="B35" s="116" t="str">
        <x:v>1M、3M、6M及YTD回报必须使用相同的period_end，并记录各自实际period_start。</x:v>
      </x:c>
      <x:c r="C35" s="116"/>
      <x:c r="D35" s="116"/>
      <x:c r="E35" s="116"/>
      <x:c r="F35" s="116"/>
    </x:row>
    <x:row r="36" ht="32" customHeight="1">
      <x:c r="A36" s="125" t="n">
        <x:v>4</x:v>
      </x:c>
      <x:c r="B36" s="116" t="str">
        <x:v>weight_pct及各return_*_pct字段直接填写百分数，例如8.30代表8.30%，不得填写为0.083。</x:v>
      </x:c>
      <x:c r="C36" s="116"/>
      <x:c r="D36" s="116"/>
      <x:c r="E36" s="116"/>
      <x:c r="F36" s="116"/>
    </x:row>
    <x:row r="37" ht="32" customHeight="1">
      <x:c r="A37" s="125" t="n">
        <x:v>5</x:v>
      </x:c>
      <x:c r="B37" s="116" t="str">
        <x:v>个别回报因上市历史不足而缺失时可留空，但对应missing_reason必须填写；不得以0代替缺失值。</x:v>
      </x:c>
      <x:c r="C37" s="116"/>
      <x:c r="D37" s="116"/>
      <x:c r="E37" s="116"/>
      <x:c r="F37" s="116"/>
    </x:row>
    <x:row r="38" ht="32" customHeight="1">
      <x:c r="A38" s="125" t="n">
        <x:v>6</x:v>
      </x:c>
      <x:c r="B38" s="116" t="str">
        <x:v>同一股票代码只能出现一次；全体权重合计应接近100%。</x:v>
      </x:c>
      <x:c r="C38" s="116"/>
      <x:c r="D38" s="116"/>
      <x:c r="E38" s="116"/>
      <x:c r="F38" s="116"/>
    </x:row>
    <x:row r="39" ht="32" customHeight="1">
      <x:c r="A39" s="126" t="n">
        <x:v>7</x:v>
      </x:c>
      <x:c r="B39" s="117" t="str">
        <x:v>constituent_source和return_source在整份文件中分别保持一致。</x:v>
      </x:c>
      <x:c r="C39" s="117"/>
      <x:c r="D39" s="117"/>
      <x:c r="E39" s="117"/>
      <x:c r="F39" s="117"/>
    </x:row>
    <x:row r="42" ht="38" customHeight="1">
      <x:c r="A42" s="129" t="str">
        <x:v>名单基础：项目内2026-06 HSTECH样例快照；正式月度交付须以当月权威指数成份股名单为准。标准字段参考：docs/templates/constituent-performance-template.csv</x:v>
      </x:c>
      <x:c r="B42" s="129"/>
      <x:c r="C42" s="129"/>
      <x:c r="D42" s="129"/>
      <x:c r="E42" s="129"/>
      <x:c r="F42" s="129"/>
    </x:row>
  </x:sheetData>
  <x:mergeCells>
    <x:mergeCell ref="A1:F1"/>
    <x:mergeCell ref="A2:F2"/>
    <x:mergeCell ref="A32:F32"/>
    <x:mergeCell ref="B33:F33"/>
    <x:mergeCell ref="B34:F34"/>
    <x:mergeCell ref="B35:F35"/>
    <x:mergeCell ref="B36:F36"/>
    <x:mergeCell ref="B37:F37"/>
    <x:mergeCell ref="B38:F38"/>
    <x:mergeCell ref="B39:F39"/>
    <x:mergeCell ref="A42:F42"/>
  </x:mergeCells>
  <x:pageMargins left="0.7" right="0.7" top="0.75" bottom="0.75" header="0.3" footer="0.3"/>
</x:worksheet>
</file>